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760" yWindow="660" windowWidth="14760" windowHeight="18980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ing" sheetId="2" state="visible" r:id="rId2"/>
    <sheet xmlns:r="http://schemas.openxmlformats.org/officeDocument/2006/relationships" name="Codebook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charset val="1"/>
      <b val="1"/>
      <color rgb="FF1F3864"/>
      <sz val="14"/>
    </font>
    <font>
      <name val="Arial"/>
      <charset val="1"/>
      <i val="1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color rgb="FF7F6000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FFFFFF"/>
      <sz val="10"/>
    </font>
    <font>
      <name val="Arial"/>
      <charset val="1"/>
      <color rgb="FF606060"/>
      <sz val="9"/>
    </font>
    <font>
      <name val="Arial"/>
      <charset val="1"/>
      <i val="1"/>
      <color rgb="FF7F6000"/>
      <sz val="9"/>
    </font>
    <font>
      <name val="Arial"/>
      <charset val="1"/>
      <color rgb="FF404040"/>
      <sz val="9"/>
    </font>
    <font>
      <name val="Arial"/>
      <charset val="1"/>
      <sz val="10"/>
    </font>
    <font>
      <name val="Arial"/>
      <charset val="1"/>
      <i val="1"/>
      <color rgb="FF375623"/>
      <sz val="10"/>
    </font>
    <font>
      <name val="Calibri"/>
      <b val="1"/>
      <sz val="11"/>
    </font>
    <font>
      <name val="Arial"/>
      <family val="2"/>
      <color rgb="FF404040"/>
      <sz val="9"/>
    </font>
    <font>
      <name val="Arial"/>
      <family val="2"/>
      <color rgb="FF606060"/>
      <sz val="9"/>
    </font>
  </fonts>
  <fills count="7">
    <fill>
      <patternFill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E2EFDA"/>
        <bgColor rgb="FFD9E1F2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4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99999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zoomScaleNormal="100" workbookViewId="0">
      <selection activeCell="A1" sqref="A1"/>
    </sheetView>
  </sheetViews>
  <sheetFormatPr baseColWidth="10" defaultColWidth="8.6640625" defaultRowHeight="15"/>
  <cols>
    <col width="110" customWidth="1" min="1" max="1"/>
  </cols>
  <sheetData>
    <row r="1" ht="17.25" customHeight="1">
      <c r="A1" s="1" t="inlineStr">
        <is>
          <t>Pilot Study 1: Narrative Coding Sheet</t>
        </is>
      </c>
    </row>
    <row r="2" ht="15" customHeight="1">
      <c r="A2" s="2" t="inlineStr">
        <is>
          <t>Independent rater data-entry workbook</t>
        </is>
      </c>
    </row>
    <row r="3" ht="15" customHeight="1">
      <c r="A3" s="3" t="n"/>
    </row>
    <row r="4" ht="15" customHeight="1">
      <c r="A4" s="4" t="inlineStr">
        <is>
          <t>Workbook overview</t>
        </is>
      </c>
    </row>
    <row r="5" ht="15" customHeight="1">
      <c r="A5" s="3" t="inlineStr">
        <is>
          <t>This workbook has three sheets:</t>
        </is>
      </c>
    </row>
    <row r="6" ht="15" customHeight="1">
      <c r="A6" s="3" t="inlineStr">
        <is>
          <t xml:space="preserve">  • Instructions — this page.</t>
        </is>
      </c>
    </row>
    <row r="7" ht="15" customHeight="1">
      <c r="A7" s="3" t="inlineStr">
        <is>
          <t xml:space="preserve">  • Coding — data-entry form. One row per narrative.</t>
        </is>
      </c>
    </row>
    <row r="8" ht="15" customHeight="1">
      <c r="A8" s="3" t="inlineStr">
        <is>
          <t xml:space="preserve">  • Codebook — variable reference (codebook ID, short name, label, values, description).</t>
        </is>
      </c>
    </row>
    <row r="9" ht="15" customHeight="1">
      <c r="A9" s="3" t="n"/>
    </row>
    <row r="10" ht="15" customHeight="1">
      <c r="A10" s="4" t="inlineStr">
        <is>
          <t>Variable naming</t>
        </is>
      </c>
    </row>
    <row r="11" ht="15" customHeight="1">
      <c r="A11" s="3" t="inlineStr">
        <is>
          <t>Each variable has two identifiers:</t>
        </is>
      </c>
    </row>
    <row r="12" ht="15" customHeight="1">
      <c r="A12" s="3" t="inlineStr">
        <is>
          <t xml:space="preserve">  • Codebook ID (e.g., A1, B3, H10) — used to locate the variable in the printed codebook.</t>
        </is>
      </c>
    </row>
    <row r="13" ht="15" customHeight="1">
      <c r="A13" s="3" t="inlineStr">
        <is>
          <t xml:space="preserve">  • Short name (e.g., pid, nchars, mitcount) — used as the column header in the Coding sheet</t>
        </is>
      </c>
    </row>
    <row r="14" ht="15" customHeight="1">
      <c r="A14" s="3" t="inlineStr">
        <is>
          <t xml:space="preserve">    and as the variable name in analysis. Both rows appear at the top of every column.</t>
        </is>
      </c>
    </row>
    <row r="15" ht="15" customHeight="1">
      <c r="A15" s="3" t="n"/>
    </row>
    <row r="16" ht="15" customHeight="1">
      <c r="A16" s="4" t="inlineStr">
        <is>
          <t>How to use</t>
        </is>
      </c>
    </row>
    <row r="17" ht="15" customHeight="1">
      <c r="A17" s="3" t="inlineStr">
        <is>
          <t>1. Open the Coding sheet.</t>
        </is>
      </c>
    </row>
    <row r="18" ht="15" customHeight="1">
      <c r="A18" s="3" t="inlineStr">
        <is>
          <t>2. Fill in your coderid, the date, and the administrative variables (pid, crimetype, etc.) from the data export.</t>
        </is>
      </c>
    </row>
    <row r="19" ht="15" customHeight="1">
      <c r="A19" s="3" t="inlineStr">
        <is>
          <t>3. Read the assigned narrative in full BEFORE coding any variables.</t>
        </is>
      </c>
    </row>
    <row r="20" ht="15" customHeight="1">
      <c r="A20" s="3" t="inlineStr">
        <is>
          <t>4. Code each variable by typing the appropriate value into the cell.</t>
        </is>
      </c>
    </row>
    <row r="21" ht="15" customHeight="1">
      <c r="A21" s="3" t="inlineStr">
        <is>
          <t>5. The dropdown arrow on each cell shows allowed values. Cells will reject out-of-range entries.</t>
        </is>
      </c>
    </row>
    <row r="22" ht="15" customHeight="1">
      <c r="A22" s="3" t="inlineStr">
        <is>
          <t>6. The mitcount, aggcount, and factortotal columns are computed automatically — do not type into them.</t>
        </is>
      </c>
    </row>
    <row r="23" ht="15" customHeight="1">
      <c r="A23" s="3" t="inlineStr">
        <is>
          <t>7. Use the notes column to flag any uncertain codes for reconciliation.</t>
        </is>
      </c>
    </row>
    <row r="24" ht="15" customHeight="1">
      <c r="A24" s="3" t="inlineStr">
        <is>
          <t>8. Save the workbook after every five narratives.</t>
        </is>
      </c>
    </row>
    <row r="25" ht="15" customHeight="1">
      <c r="A25" s="3" t="n"/>
    </row>
    <row r="26" ht="15" customHeight="1">
      <c r="A26" s="4" t="inlineStr">
        <is>
          <t>Coding conventions</t>
        </is>
      </c>
    </row>
    <row r="27" ht="15" customHeight="1">
      <c r="A27" s="3" t="inlineStr">
        <is>
          <t>• 0 = absent; 1 = present (binary variables).</t>
        </is>
      </c>
    </row>
    <row r="28" ht="15" customHeight="1">
      <c r="A28" s="3" t="inlineStr">
        <is>
          <t>• -88 = not specified / not mentioned (categorical variables when the narrative does not provide enough information).</t>
        </is>
      </c>
    </row>
    <row r="29" ht="15" customHeight="1">
      <c r="A29" s="3" t="inlineStr">
        <is>
          <t>• -77 = skipped variable; need assistance from PI. Flag the cell with a note.</t>
        </is>
      </c>
    </row>
    <row r="30" ht="15" customHeight="1">
      <c r="A30" s="3" t="inlineStr">
        <is>
          <t>• -99 = no narrative text to code (use only for completely blank narratives).</t>
        </is>
      </c>
    </row>
    <row r="31" ht="15" customHeight="1">
      <c r="A31" s="3" t="inlineStr">
        <is>
          <t>• For ordinal scales, assign the rating that best characterizes the narrative as a whole.</t>
        </is>
      </c>
    </row>
    <row r="32" ht="15" customHeight="1">
      <c r="A32" s="3" t="inlineStr">
        <is>
          <t>• Code only what is in the narrative; do not infer details that are not stated or strongly implied.</t>
        </is>
      </c>
    </row>
    <row r="33" ht="15" customHeight="1">
      <c r="A33" s="3" t="n"/>
    </row>
    <row r="34" ht="15" customHeight="1">
      <c r="A34" s="4" t="inlineStr">
        <is>
          <t>Reliability</t>
        </is>
      </c>
    </row>
    <row r="35" ht="15" customHeight="1">
      <c r="A35" s="3" t="inlineStr">
        <is>
          <t>Each narrative is coded by two independent raters. Disagreements are resolved through consensus</t>
        </is>
      </c>
    </row>
    <row r="36" ht="15" customHeight="1">
      <c r="A36" s="3" t="inlineStr">
        <is>
          <t>discussion with the principal investigator. Reliability targets: Cohen's kappa ≥ .75 for categorical</t>
        </is>
      </c>
    </row>
    <row r="37" ht="15" customHeight="1">
      <c r="A37" s="3" t="inlineStr">
        <is>
          <t>variables; ICC ≥ .80 for ordinal/dimensional variables.</t>
        </is>
      </c>
    </row>
    <row r="38" ht="15" customHeight="1">
      <c r="A38" s="3" t="n"/>
    </row>
    <row r="39" ht="15" customHeight="1">
      <c r="A39" s="4" t="inlineStr">
        <is>
          <t>Color key</t>
        </is>
      </c>
    </row>
    <row r="40" ht="15" customHeight="1">
      <c r="A40" s="3" t="inlineStr">
        <is>
          <t xml:space="preserve">  Yellow header cells = administrative metadata (coderid, codingdate, notes).</t>
        </is>
      </c>
    </row>
    <row r="41">
      <c r="A41" s="3" t="inlineStr">
        <is>
          <t xml:space="preserve">  Blue header cells   = section labels and short variable names in the Coding sheet.</t>
        </is>
      </c>
    </row>
    <row r="42">
      <c r="A42" s="3" t="inlineStr">
        <is>
          <t xml:space="preserve">  Green columns       = computed cells (do not edit).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204"/>
  <sheetViews>
    <sheetView tabSelected="1" zoomScaleNormal="100" workbookViewId="0">
      <pane xSplit="3" ySplit="4" topLeftCell="V5" activePane="bottomRight" state="frozen"/>
      <selection pane="topRight" activeCell="D1" sqref="D1"/>
      <selection pane="bottomLeft" activeCell="A5" sqref="A5"/>
      <selection pane="bottomRight" activeCell="AA5" sqref="AA5"/>
    </sheetView>
  </sheetViews>
  <sheetFormatPr baseColWidth="10" defaultColWidth="8.6640625" defaultRowHeight="15"/>
  <cols>
    <col width="12" customWidth="1" min="1" max="2"/>
    <col width="35" customWidth="1" min="3" max="3"/>
    <col width="13" customWidth="1" min="4" max="4"/>
    <col width="11" customWidth="1" min="5" max="7"/>
    <col width="13" customWidth="1" min="8" max="8"/>
    <col width="11" customWidth="1" min="9" max="10"/>
    <col width="13" customWidth="1" min="11" max="11"/>
    <col width="11" customWidth="1" min="12" max="91"/>
  </cols>
  <sheetData>
    <row r="1" ht="21.75" customHeight="1">
      <c r="A1" s="5" t="inlineStr">
        <is>
          <t>META</t>
        </is>
      </c>
      <c r="B1" s="5" t="inlineStr">
        <is>
          <t>META</t>
        </is>
      </c>
      <c r="C1" s="5" t="inlineStr">
        <is>
          <t>META</t>
        </is>
      </c>
      <c r="D1" s="6" t="inlineStr">
        <is>
          <t>Section A</t>
        </is>
      </c>
      <c r="E1" s="6" t="inlineStr">
        <is>
          <t>Section A</t>
        </is>
      </c>
      <c r="F1" s="6" t="inlineStr">
        <is>
          <t>Section A</t>
        </is>
      </c>
      <c r="G1" s="6" t="inlineStr">
        <is>
          <t>Section A</t>
        </is>
      </c>
      <c r="H1" s="6" t="inlineStr">
        <is>
          <t>Section A</t>
        </is>
      </c>
      <c r="I1" s="6" t="inlineStr">
        <is>
          <t>Section B</t>
        </is>
      </c>
      <c r="J1" s="6" t="inlineStr">
        <is>
          <t>Section B</t>
        </is>
      </c>
      <c r="K1" s="6" t="inlineStr">
        <is>
          <t>Section B</t>
        </is>
      </c>
      <c r="L1" s="6" t="inlineStr">
        <is>
          <t>Section B</t>
        </is>
      </c>
      <c r="M1" s="6" t="inlineStr">
        <is>
          <t>Section B</t>
        </is>
      </c>
      <c r="N1" s="6" t="inlineStr">
        <is>
          <t>Section B</t>
        </is>
      </c>
      <c r="O1" s="6" t="inlineStr">
        <is>
          <t>Section B</t>
        </is>
      </c>
      <c r="P1" s="6" t="inlineStr">
        <is>
          <t>Section C</t>
        </is>
      </c>
      <c r="Q1" s="6" t="inlineStr">
        <is>
          <t>Section C</t>
        </is>
      </c>
      <c r="R1" s="6" t="inlineStr">
        <is>
          <t>Section C</t>
        </is>
      </c>
      <c r="S1" s="6" t="inlineStr">
        <is>
          <t>Section C</t>
        </is>
      </c>
      <c r="T1" s="6" t="inlineStr">
        <is>
          <t>Section C</t>
        </is>
      </c>
      <c r="U1" s="6" t="inlineStr">
        <is>
          <t>Section C</t>
        </is>
      </c>
      <c r="V1" s="6" t="inlineStr">
        <is>
          <t>Section C</t>
        </is>
      </c>
      <c r="W1" s="6" t="inlineStr">
        <is>
          <t>Section C</t>
        </is>
      </c>
      <c r="X1" s="6" t="inlineStr">
        <is>
          <t>Section C</t>
        </is>
      </c>
      <c r="Y1" s="6" t="inlineStr">
        <is>
          <t>Section C</t>
        </is>
      </c>
      <c r="Z1" s="6" t="inlineStr">
        <is>
          <t>Section C</t>
        </is>
      </c>
      <c r="AA1" s="6" t="inlineStr">
        <is>
          <t>Section C</t>
        </is>
      </c>
      <c r="AB1" s="6" t="inlineStr">
        <is>
          <t>Section D</t>
        </is>
      </c>
      <c r="AC1" s="6" t="inlineStr">
        <is>
          <t>Section D</t>
        </is>
      </c>
      <c r="AD1" s="6" t="inlineStr">
        <is>
          <t>Section D</t>
        </is>
      </c>
      <c r="AE1" s="6" t="inlineStr">
        <is>
          <t>Section D</t>
        </is>
      </c>
      <c r="AF1" s="6" t="inlineStr">
        <is>
          <t>Section D</t>
        </is>
      </c>
      <c r="AG1" s="6" t="inlineStr">
        <is>
          <t>Section D</t>
        </is>
      </c>
      <c r="AH1" s="6" t="inlineStr">
        <is>
          <t>Section D</t>
        </is>
      </c>
      <c r="AI1" s="6" t="inlineStr">
        <is>
          <t>Section D</t>
        </is>
      </c>
      <c r="AJ1" s="6" t="inlineStr">
        <is>
          <t>Section E</t>
        </is>
      </c>
      <c r="AK1" s="6" t="inlineStr">
        <is>
          <t>Section E</t>
        </is>
      </c>
      <c r="AL1" s="6" t="inlineStr">
        <is>
          <t>Section E</t>
        </is>
      </c>
      <c r="AM1" s="6" t="inlineStr">
        <is>
          <t>Section E</t>
        </is>
      </c>
      <c r="AN1" s="6" t="inlineStr">
        <is>
          <t>Section E</t>
        </is>
      </c>
      <c r="AO1" s="6" t="inlineStr">
        <is>
          <t>Section E</t>
        </is>
      </c>
      <c r="AP1" s="6" t="inlineStr">
        <is>
          <t>Section E</t>
        </is>
      </c>
      <c r="AQ1" s="6" t="inlineStr">
        <is>
          <t>Section E</t>
        </is>
      </c>
      <c r="AR1" s="6" t="inlineStr">
        <is>
          <t>Section E</t>
        </is>
      </c>
      <c r="AS1" s="6" t="inlineStr">
        <is>
          <t>Section E</t>
        </is>
      </c>
      <c r="AT1" s="6" t="inlineStr">
        <is>
          <t>Section F</t>
        </is>
      </c>
      <c r="AU1" s="6" t="inlineStr">
        <is>
          <t>Section F</t>
        </is>
      </c>
      <c r="AV1" s="6" t="inlineStr">
        <is>
          <t>Section F</t>
        </is>
      </c>
      <c r="AW1" s="6" t="inlineStr">
        <is>
          <t>Section F</t>
        </is>
      </c>
      <c r="AX1" s="6" t="inlineStr">
        <is>
          <t>Section F</t>
        </is>
      </c>
      <c r="AY1" s="6" t="inlineStr">
        <is>
          <t>Section F</t>
        </is>
      </c>
      <c r="AZ1" s="6" t="inlineStr">
        <is>
          <t>Section F</t>
        </is>
      </c>
      <c r="BA1" s="6" t="inlineStr">
        <is>
          <t>Section F</t>
        </is>
      </c>
      <c r="BB1" s="6" t="inlineStr">
        <is>
          <t>Section F</t>
        </is>
      </c>
      <c r="BC1" s="6" t="inlineStr">
        <is>
          <t>Section G</t>
        </is>
      </c>
      <c r="BD1" s="6" t="inlineStr">
        <is>
          <t>Section G</t>
        </is>
      </c>
      <c r="BE1" s="6" t="inlineStr">
        <is>
          <t>Section G</t>
        </is>
      </c>
      <c r="BF1" s="6" t="inlineStr">
        <is>
          <t>Section G</t>
        </is>
      </c>
      <c r="BG1" s="6" t="inlineStr">
        <is>
          <t>Section G</t>
        </is>
      </c>
      <c r="BH1" s="6" t="inlineStr">
        <is>
          <t>Section G</t>
        </is>
      </c>
      <c r="BI1" s="6" t="inlineStr">
        <is>
          <t>Section G</t>
        </is>
      </c>
      <c r="BJ1" s="6" t="inlineStr">
        <is>
          <t>Section G</t>
        </is>
      </c>
      <c r="BK1" s="6" t="inlineStr">
        <is>
          <t>Section H</t>
        </is>
      </c>
      <c r="BL1" s="6" t="inlineStr">
        <is>
          <t>Section H</t>
        </is>
      </c>
      <c r="BM1" s="6" t="inlineStr">
        <is>
          <t>Section H</t>
        </is>
      </c>
      <c r="BN1" s="6" t="inlineStr">
        <is>
          <t>Section H</t>
        </is>
      </c>
      <c r="BO1" s="6" t="inlineStr">
        <is>
          <t>Section H</t>
        </is>
      </c>
      <c r="BP1" s="6" t="inlineStr">
        <is>
          <t>Section H</t>
        </is>
      </c>
      <c r="BQ1" s="6" t="inlineStr">
        <is>
          <t>Section H</t>
        </is>
      </c>
      <c r="BR1" s="6" t="inlineStr">
        <is>
          <t>Section H</t>
        </is>
      </c>
      <c r="BS1" s="6" t="inlineStr">
        <is>
          <t>Section H</t>
        </is>
      </c>
      <c r="BT1" s="6" t="inlineStr">
        <is>
          <t>Section H</t>
        </is>
      </c>
      <c r="BU1" s="6" t="inlineStr">
        <is>
          <t>Section H</t>
        </is>
      </c>
      <c r="BV1" s="6" t="inlineStr">
        <is>
          <t>Section H</t>
        </is>
      </c>
      <c r="BW1" s="6" t="inlineStr">
        <is>
          <t>Section H</t>
        </is>
      </c>
      <c r="BX1" s="6" t="inlineStr">
        <is>
          <t>Section H</t>
        </is>
      </c>
      <c r="BY1" s="6" t="inlineStr">
        <is>
          <t>Section H</t>
        </is>
      </c>
      <c r="BZ1" s="6" t="inlineStr">
        <is>
          <t>Section H</t>
        </is>
      </c>
      <c r="CA1" s="6" t="inlineStr">
        <is>
          <t>Section H</t>
        </is>
      </c>
      <c r="CB1" s="6" t="inlineStr">
        <is>
          <t>Section H</t>
        </is>
      </c>
      <c r="CC1" s="6" t="inlineStr">
        <is>
          <t>Section H</t>
        </is>
      </c>
      <c r="CD1" s="6" t="inlineStr">
        <is>
          <t>Section H</t>
        </is>
      </c>
      <c r="CE1" s="6" t="inlineStr">
        <is>
          <t>Section H</t>
        </is>
      </c>
      <c r="CF1" s="6" t="inlineStr">
        <is>
          <t>Section H</t>
        </is>
      </c>
      <c r="CG1" s="6" t="inlineStr">
        <is>
          <t>Section I</t>
        </is>
      </c>
      <c r="CH1" s="6" t="inlineStr">
        <is>
          <t>Section I</t>
        </is>
      </c>
      <c r="CI1" s="6" t="inlineStr">
        <is>
          <t>Section I</t>
        </is>
      </c>
      <c r="CJ1" s="6" t="inlineStr">
        <is>
          <t>Section I</t>
        </is>
      </c>
      <c r="CK1" s="6" t="inlineStr">
        <is>
          <t>Section I</t>
        </is>
      </c>
      <c r="CL1" s="6" t="inlineStr">
        <is>
          <t>Section I</t>
        </is>
      </c>
      <c r="CM1" s="6" t="inlineStr">
        <is>
          <t>Section I</t>
        </is>
      </c>
      <c r="CN1" s="6" t="inlineStr">
        <is>
          <t>Section I</t>
        </is>
      </c>
      <c r="CO1" s="6" t="inlineStr">
        <is>
          <t>Section J</t>
        </is>
      </c>
      <c r="CP1" s="6" t="inlineStr">
        <is>
          <t>Section J</t>
        </is>
      </c>
      <c r="CQ1" s="6" t="inlineStr">
        <is>
          <t>Section J</t>
        </is>
      </c>
    </row>
    <row r="2" ht="21.75" customHeight="1">
      <c r="A2" s="5" t="inlineStr">
        <is>
          <t>coderid</t>
        </is>
      </c>
      <c r="B2" s="5" t="inlineStr">
        <is>
          <t>codingdate</t>
        </is>
      </c>
      <c r="C2" s="5" t="inlineStr">
        <is>
          <t>notes</t>
        </is>
      </c>
      <c r="D2" s="7" t="inlineStr">
        <is>
          <t>pid</t>
        </is>
      </c>
      <c r="E2" s="7" t="inlineStr">
        <is>
          <t>crimetype</t>
        </is>
      </c>
      <c r="F2" s="7" t="inlineStr">
        <is>
          <t>verdictcond</t>
        </is>
      </c>
      <c r="G2" s="7" t="inlineStr">
        <is>
          <t>narrorder</t>
        </is>
      </c>
      <c r="H2" s="7" t="inlineStr">
        <is>
          <t>wordcount</t>
        </is>
      </c>
      <c r="I2" s="7" t="inlineStr">
        <is>
          <t>setting</t>
        </is>
      </c>
      <c r="J2" s="7" t="inlineStr">
        <is>
          <t>namedchars</t>
        </is>
      </c>
      <c r="K2" s="7" t="inlineStr">
        <is>
          <t>nchars</t>
        </is>
      </c>
      <c r="L2" s="7" t="inlineStr">
        <is>
          <t>tempseq</t>
        </is>
      </c>
      <c r="M2" s="7" t="inlineStr">
        <is>
          <t>causal</t>
        </is>
      </c>
      <c r="N2" s="7" t="inlineStr">
        <is>
          <t>trial</t>
        </is>
      </c>
      <c r="O2" s="7" t="inlineStr">
        <is>
          <t>invest</t>
        </is>
      </c>
      <c r="P2" s="7" t="inlineStr">
        <is>
          <t>defagespec</t>
        </is>
      </c>
      <c r="Q2" s="7" t="inlineStr">
        <is>
          <t>defcarrier</t>
        </is>
      </c>
      <c r="R2" s="7" t="inlineStr">
        <is>
          <t>defrole</t>
        </is>
      </c>
      <c r="S2" s="7" t="inlineStr">
        <is>
          <t>defagecat</t>
        </is>
      </c>
      <c r="T2" s="7" t="inlineStr">
        <is>
          <t>ses</t>
        </is>
      </c>
      <c r="U2" s="7" t="inlineStr">
        <is>
          <t>relstatus</t>
        </is>
      </c>
      <c r="V2" s="7" t="inlineStr">
        <is>
          <t>existkids</t>
        </is>
      </c>
      <c r="W2" s="7" t="inlineStr">
        <is>
          <t>employment</t>
        </is>
      </c>
      <c r="X2" s="7" t="inlineStr">
        <is>
          <t>mentalhlth</t>
        </is>
      </c>
      <c r="Y2" s="7" t="inlineStr">
        <is>
          <t>substuse</t>
        </is>
      </c>
      <c r="Z2" s="7" t="inlineStr">
        <is>
          <t>priorcrim</t>
        </is>
      </c>
      <c r="AA2" s="7" t="inlineStr">
        <is>
          <t>defsympathy</t>
        </is>
      </c>
      <c r="AB2" s="7" t="inlineStr">
        <is>
          <t>gestspec</t>
        </is>
      </c>
      <c r="AC2" s="7" t="inlineStr">
        <is>
          <t>gestcat</t>
        </is>
      </c>
      <c r="AD2" s="7" t="inlineStr">
        <is>
          <t>wantedness</t>
        </is>
      </c>
      <c r="AE2" s="7" t="inlineStr">
        <is>
          <t>pregdisc</t>
        </is>
      </c>
      <c r="AF2" s="7" t="inlineStr">
        <is>
          <t>prenatal</t>
        </is>
      </c>
      <c r="AG2" s="7" t="inlineStr">
        <is>
          <t>pregconceal</t>
        </is>
      </c>
      <c r="AH2" s="7" t="inlineStr">
        <is>
          <t>hcaccess</t>
        </is>
      </c>
      <c r="AI2" s="7" t="inlineStr">
        <is>
          <t>pregoutcome</t>
        </is>
      </c>
      <c r="AJ2" s="7" t="inlineStr">
        <is>
          <t>mentalstate</t>
        </is>
      </c>
      <c r="AK2" s="7" t="inlineStr">
        <is>
          <t>planning</t>
        </is>
      </c>
      <c r="AL2" s="7" t="inlineStr">
        <is>
          <t>impulsive</t>
        </is>
      </c>
      <c r="AM2" s="7" t="inlineStr">
        <is>
          <t>motfinancial</t>
        </is>
      </c>
      <c r="AN2" s="7" t="inlineStr">
        <is>
          <t>motcoercion</t>
        </is>
      </c>
      <c r="AO2" s="7" t="inlineStr">
        <is>
          <t>motfear</t>
        </is>
      </c>
      <c r="AP2" s="7" t="inlineStr">
        <is>
          <t>motmedical</t>
        </is>
      </c>
      <c r="AQ2" s="7" t="inlineStr">
        <is>
          <t>motautonomy</t>
        </is>
      </c>
      <c r="AR2" s="7" t="inlineStr">
        <is>
          <t>motdesp</t>
        </is>
      </c>
      <c r="AS2" s="7" t="inlineStr">
        <is>
          <t>motmalice</t>
        </is>
      </c>
      <c r="AT2" s="7" t="inlineStr">
        <is>
          <t>methoddesc</t>
        </is>
      </c>
      <c r="AU2" s="7" t="inlineStr">
        <is>
          <t>methodtype</t>
        </is>
      </c>
      <c r="AV2" s="7" t="inlineStr">
        <is>
          <t>netsearch</t>
        </is>
      </c>
      <c r="AW2" s="7" t="inlineStr">
        <is>
          <t>digevid</t>
        </is>
      </c>
      <c r="AX2" s="7" t="inlineStr">
        <is>
          <t>physevid</t>
        </is>
      </c>
      <c r="AY2" s="7" t="inlineStr">
        <is>
          <t>witness</t>
        </is>
      </c>
      <c r="AZ2" s="7" t="inlineStr">
        <is>
          <t>medevid</t>
        </is>
      </c>
      <c r="BA2" s="7" t="inlineStr">
        <is>
          <t>confession</t>
        </is>
      </c>
      <c r="BB2" s="7" t="inlineStr">
        <is>
          <t>evidconceal</t>
        </is>
      </c>
      <c r="BC2" s="7" t="inlineStr">
        <is>
          <t>partner</t>
        </is>
      </c>
      <c r="BD2" s="7" t="inlineStr">
        <is>
          <t>partnerrole</t>
        </is>
      </c>
      <c r="BE2" s="7" t="inlineStr">
        <is>
          <t>hcprov</t>
        </is>
      </c>
      <c r="BF2" s="7" t="inlineStr">
        <is>
          <t>hcprovrole</t>
        </is>
      </c>
      <c r="BG2" s="7" t="inlineStr">
        <is>
          <t>family</t>
        </is>
      </c>
      <c r="BH2" s="7" t="inlineStr">
        <is>
          <t>friend</t>
        </is>
      </c>
      <c r="BI2" s="7" t="inlineStr">
        <is>
          <t>lawenf</t>
        </is>
      </c>
      <c r="BJ2" s="7" t="inlineStr">
        <is>
          <t>othculp</t>
        </is>
      </c>
      <c r="BK2" s="7" t="inlineStr">
        <is>
          <t>mitfinance</t>
        </is>
      </c>
      <c r="BL2" s="7" t="inlineStr">
        <is>
          <t>mitcoercion</t>
        </is>
      </c>
      <c r="BM2" s="7" t="inlineStr">
        <is>
          <t>mitfear</t>
        </is>
      </c>
      <c r="BN2" s="7" t="inlineStr">
        <is>
          <t>mitunaware</t>
        </is>
      </c>
      <c r="BO2" s="7" t="inlineStr">
        <is>
          <t>mitmedical</t>
        </is>
      </c>
      <c r="BP2" s="7" t="inlineStr">
        <is>
          <t>mitmh</t>
        </is>
      </c>
      <c r="BQ2" s="7" t="inlineStr">
        <is>
          <t>mitaccess</t>
        </is>
      </c>
      <c r="BR2" s="7" t="inlineStr">
        <is>
          <t>mityouth</t>
        </is>
      </c>
      <c r="BS2" s="7" t="inlineStr">
        <is>
          <t>mitcharac</t>
        </is>
      </c>
      <c r="BT2" s="7" t="inlineStr">
        <is>
          <t>mitfetalvalue</t>
        </is>
      </c>
      <c r="BU2" s="7" t="inlineStr">
        <is>
          <t>fetalref</t>
        </is>
      </c>
      <c r="BV2" s="7" t="inlineStr">
        <is>
          <t>mitcount</t>
        </is>
      </c>
      <c r="BW2" s="7" t="inlineStr">
        <is>
          <t>aggconceal</t>
        </is>
      </c>
      <c r="BX2" s="7" t="inlineStr">
        <is>
          <t>aggrepeated</t>
        </is>
      </c>
      <c r="BY2" s="7" t="inlineStr">
        <is>
          <t>aggdisregard</t>
        </is>
      </c>
      <c r="BZ2" s="7" t="inlineStr">
        <is>
          <t>aggsubst</t>
        </is>
      </c>
      <c r="CA2" s="7" t="inlineStr">
        <is>
          <t>agglategest</t>
        </is>
      </c>
      <c r="CB2" s="7" t="inlineStr">
        <is>
          <t>aggcallous</t>
        </is>
      </c>
      <c r="CC2" s="7" t="inlineStr">
        <is>
          <t>aggdeception</t>
        </is>
      </c>
      <c r="CD2" s="7" t="inlineStr">
        <is>
          <t>aggendanger</t>
        </is>
      </c>
      <c r="CE2" s="7" t="inlineStr">
        <is>
          <t>aggcount</t>
        </is>
      </c>
      <c r="CF2" s="7" t="inlineStr">
        <is>
          <t>factortotal</t>
        </is>
      </c>
      <c r="CG2" s="7" t="inlineStr">
        <is>
          <t>evidbalance</t>
        </is>
      </c>
      <c r="CH2" s="7" t="inlineStr">
        <is>
          <t>prosecarg</t>
        </is>
      </c>
      <c r="CI2" s="7" t="inlineStr">
        <is>
          <t>defensearg</t>
        </is>
      </c>
      <c r="CJ2" s="7" t="inlineStr">
        <is>
          <t>juryreason</t>
        </is>
      </c>
      <c r="CK2" s="7" t="inlineStr">
        <is>
          <t>legalterm</t>
        </is>
      </c>
      <c r="CL2" s="7" t="inlineStr">
        <is>
          <t>factambig</t>
        </is>
      </c>
      <c r="CM2" s="7" t="inlineStr">
        <is>
          <t>legalambig</t>
        </is>
      </c>
      <c r="CN2" s="7" t="inlineStr">
        <is>
          <t>verdictconsist</t>
        </is>
      </c>
      <c r="CO2" s="7" t="inlineStr">
        <is>
          <t>realcase</t>
        </is>
      </c>
      <c r="CP2" s="7" t="inlineStr">
        <is>
          <t>mediaframe</t>
        </is>
      </c>
      <c r="CQ2" s="7" t="inlineStr">
        <is>
          <t>politicalframe</t>
        </is>
      </c>
    </row>
    <row r="3" ht="21.75" customHeight="1">
      <c r="A3" s="8" t="inlineStr">
        <is>
          <t>M1</t>
        </is>
      </c>
      <c r="B3" s="8" t="inlineStr">
        <is>
          <t>M2</t>
        </is>
      </c>
      <c r="C3" s="8" t="inlineStr">
        <is>
          <t>M3</t>
        </is>
      </c>
      <c r="D3" s="18" t="inlineStr">
        <is>
          <t>A1</t>
        </is>
      </c>
      <c r="E3" s="9" t="inlineStr">
        <is>
          <t>A2</t>
        </is>
      </c>
      <c r="F3" s="9" t="inlineStr">
        <is>
          <t>A3</t>
        </is>
      </c>
      <c r="G3" s="9" t="inlineStr">
        <is>
          <t>A4</t>
        </is>
      </c>
      <c r="H3" s="9" t="inlineStr">
        <is>
          <t>A5</t>
        </is>
      </c>
      <c r="I3" s="9" t="inlineStr">
        <is>
          <t>B1</t>
        </is>
      </c>
      <c r="J3" s="9" t="inlineStr">
        <is>
          <t>B2</t>
        </is>
      </c>
      <c r="K3" s="9" t="inlineStr">
        <is>
          <t>B3</t>
        </is>
      </c>
      <c r="L3" s="9" t="inlineStr">
        <is>
          <t>B4</t>
        </is>
      </c>
      <c r="M3" s="9" t="inlineStr">
        <is>
          <t>B5</t>
        </is>
      </c>
      <c r="N3" s="9" t="inlineStr">
        <is>
          <t>B6</t>
        </is>
      </c>
      <c r="O3" s="9" t="inlineStr">
        <is>
          <t>B7</t>
        </is>
      </c>
      <c r="P3" s="9" t="inlineStr">
        <is>
          <t>C1</t>
        </is>
      </c>
      <c r="Q3" s="9" t="inlineStr">
        <is>
          <t>C1a</t>
        </is>
      </c>
      <c r="R3" s="9" t="inlineStr">
        <is>
          <t>C1b</t>
        </is>
      </c>
      <c r="S3" s="9" t="inlineStr">
        <is>
          <t>C2</t>
        </is>
      </c>
      <c r="T3" s="9" t="inlineStr">
        <is>
          <t>C3</t>
        </is>
      </c>
      <c r="U3" s="9" t="inlineStr">
        <is>
          <t>C4</t>
        </is>
      </c>
      <c r="V3" s="9" t="inlineStr">
        <is>
          <t>C5</t>
        </is>
      </c>
      <c r="W3" s="9" t="inlineStr">
        <is>
          <t>C6</t>
        </is>
      </c>
      <c r="X3" s="9" t="inlineStr">
        <is>
          <t>C7</t>
        </is>
      </c>
      <c r="Y3" s="9" t="inlineStr">
        <is>
          <t>C8</t>
        </is>
      </c>
      <c r="Z3" s="9" t="inlineStr">
        <is>
          <t>C9</t>
        </is>
      </c>
      <c r="AA3" s="9" t="inlineStr">
        <is>
          <t>C10</t>
        </is>
      </c>
      <c r="AB3" s="9" t="inlineStr">
        <is>
          <t>D1</t>
        </is>
      </c>
      <c r="AC3" s="9" t="inlineStr">
        <is>
          <t>D2</t>
        </is>
      </c>
      <c r="AD3" s="9" t="inlineStr">
        <is>
          <t>D3</t>
        </is>
      </c>
      <c r="AE3" s="9" t="inlineStr">
        <is>
          <t>D4</t>
        </is>
      </c>
      <c r="AF3" s="9" t="inlineStr">
        <is>
          <t>D5</t>
        </is>
      </c>
      <c r="AG3" s="9" t="inlineStr">
        <is>
          <t>D6</t>
        </is>
      </c>
      <c r="AH3" s="9" t="inlineStr">
        <is>
          <t>D7</t>
        </is>
      </c>
      <c r="AI3" s="9" t="inlineStr">
        <is>
          <t>D8</t>
        </is>
      </c>
      <c r="AJ3" s="9" t="inlineStr">
        <is>
          <t>E1</t>
        </is>
      </c>
      <c r="AK3" s="9" t="inlineStr">
        <is>
          <t>E2</t>
        </is>
      </c>
      <c r="AL3" s="9" t="inlineStr">
        <is>
          <t>E3</t>
        </is>
      </c>
      <c r="AM3" s="9" t="inlineStr">
        <is>
          <t>E4</t>
        </is>
      </c>
      <c r="AN3" s="9" t="inlineStr">
        <is>
          <t>E5</t>
        </is>
      </c>
      <c r="AO3" s="9" t="inlineStr">
        <is>
          <t>E6</t>
        </is>
      </c>
      <c r="AP3" s="9" t="inlineStr">
        <is>
          <t>E7</t>
        </is>
      </c>
      <c r="AQ3" s="9" t="inlineStr">
        <is>
          <t>E8</t>
        </is>
      </c>
      <c r="AR3" s="9" t="inlineStr">
        <is>
          <t>E9</t>
        </is>
      </c>
      <c r="AS3" s="9" t="inlineStr">
        <is>
          <t>E10</t>
        </is>
      </c>
      <c r="AT3" s="9" t="inlineStr">
        <is>
          <t>F1</t>
        </is>
      </c>
      <c r="AU3" s="9" t="inlineStr">
        <is>
          <t>F2</t>
        </is>
      </c>
      <c r="AV3" s="9" t="inlineStr">
        <is>
          <t>F3</t>
        </is>
      </c>
      <c r="AW3" s="9" t="inlineStr">
        <is>
          <t>F4</t>
        </is>
      </c>
      <c r="AX3" s="9" t="inlineStr">
        <is>
          <t>F5</t>
        </is>
      </c>
      <c r="AY3" s="9" t="inlineStr">
        <is>
          <t>F6</t>
        </is>
      </c>
      <c r="AZ3" s="9" t="inlineStr">
        <is>
          <t>F7</t>
        </is>
      </c>
      <c r="BA3" s="9" t="inlineStr">
        <is>
          <t>F8</t>
        </is>
      </c>
      <c r="BB3" s="9" t="inlineStr">
        <is>
          <t>F9</t>
        </is>
      </c>
      <c r="BC3" s="9" t="inlineStr">
        <is>
          <t>G1</t>
        </is>
      </c>
      <c r="BD3" s="9" t="inlineStr">
        <is>
          <t>G2</t>
        </is>
      </c>
      <c r="BE3" s="9" t="inlineStr">
        <is>
          <t>G3</t>
        </is>
      </c>
      <c r="BF3" s="9" t="inlineStr">
        <is>
          <t>G4</t>
        </is>
      </c>
      <c r="BG3" s="9" t="inlineStr">
        <is>
          <t>G5</t>
        </is>
      </c>
      <c r="BH3" s="9" t="inlineStr">
        <is>
          <t>G6</t>
        </is>
      </c>
      <c r="BI3" s="9" t="inlineStr">
        <is>
          <t>G7</t>
        </is>
      </c>
      <c r="BJ3" s="9" t="inlineStr">
        <is>
          <t>G8</t>
        </is>
      </c>
      <c r="BK3" s="9" t="inlineStr">
        <is>
          <t>H1</t>
        </is>
      </c>
      <c r="BL3" s="9" t="inlineStr">
        <is>
          <t>H2</t>
        </is>
      </c>
      <c r="BM3" s="9" t="inlineStr">
        <is>
          <t>H3</t>
        </is>
      </c>
      <c r="BN3" s="9" t="inlineStr">
        <is>
          <t>H4</t>
        </is>
      </c>
      <c r="BO3" s="9" t="inlineStr">
        <is>
          <t>H5</t>
        </is>
      </c>
      <c r="BP3" s="9" t="inlineStr">
        <is>
          <t>H6</t>
        </is>
      </c>
      <c r="BQ3" s="9" t="inlineStr">
        <is>
          <t>H7</t>
        </is>
      </c>
      <c r="BR3" s="9" t="inlineStr">
        <is>
          <t>H8</t>
        </is>
      </c>
      <c r="BS3" s="9" t="inlineStr">
        <is>
          <t>H9</t>
        </is>
      </c>
      <c r="BT3" s="9" t="inlineStr">
        <is>
          <t>H10a</t>
        </is>
      </c>
      <c r="BU3" s="9" t="inlineStr">
        <is>
          <t>H10b</t>
        </is>
      </c>
      <c r="BV3" s="9" t="inlineStr">
        <is>
          <t>H10</t>
        </is>
      </c>
      <c r="BW3" s="9" t="inlineStr">
        <is>
          <t>H11</t>
        </is>
      </c>
      <c r="BX3" s="9" t="inlineStr">
        <is>
          <t>H12</t>
        </is>
      </c>
      <c r="BY3" s="9" t="inlineStr">
        <is>
          <t>H13</t>
        </is>
      </c>
      <c r="BZ3" s="9" t="inlineStr">
        <is>
          <t>H14</t>
        </is>
      </c>
      <c r="CA3" s="9" t="inlineStr">
        <is>
          <t>H15</t>
        </is>
      </c>
      <c r="CB3" s="9" t="inlineStr">
        <is>
          <t>H16</t>
        </is>
      </c>
      <c r="CC3" s="9" t="inlineStr">
        <is>
          <t>H17</t>
        </is>
      </c>
      <c r="CD3" s="9" t="inlineStr">
        <is>
          <t>H18</t>
        </is>
      </c>
      <c r="CE3" s="9" t="inlineStr">
        <is>
          <t>H19</t>
        </is>
      </c>
      <c r="CF3" s="9" t="inlineStr">
        <is>
          <t>H20</t>
        </is>
      </c>
      <c r="CG3" s="9" t="inlineStr">
        <is>
          <t>I1</t>
        </is>
      </c>
      <c r="CH3" s="9" t="inlineStr">
        <is>
          <t>I2</t>
        </is>
      </c>
      <c r="CI3" s="9" t="inlineStr">
        <is>
          <t>I3</t>
        </is>
      </c>
      <c r="CJ3" s="9" t="inlineStr">
        <is>
          <t>I4</t>
        </is>
      </c>
      <c r="CK3" s="9" t="inlineStr">
        <is>
          <t>I5</t>
        </is>
      </c>
      <c r="CL3" s="9" t="inlineStr">
        <is>
          <t>I6</t>
        </is>
      </c>
      <c r="CM3" s="9" t="inlineStr">
        <is>
          <t>I7</t>
        </is>
      </c>
      <c r="CN3" s="9" t="inlineStr">
        <is>
          <t>I8</t>
        </is>
      </c>
      <c r="CO3" s="9" t="inlineStr">
        <is>
          <t>J1</t>
        </is>
      </c>
      <c r="CP3" s="9" t="inlineStr">
        <is>
          <t>J2</t>
        </is>
      </c>
      <c r="CQ3" s="9" t="inlineStr">
        <is>
          <t>J3</t>
        </is>
      </c>
    </row>
    <row r="4" ht="36" customHeight="1">
      <c r="A4" s="10" t="inlineStr">
        <is>
          <t>Two-letter coder initials</t>
        </is>
      </c>
      <c r="B4" s="10" t="inlineStr">
        <is>
          <t>YYYY-MM-DD</t>
        </is>
      </c>
      <c r="C4" s="10" t="inlineStr">
        <is>
          <t>Free text — flag uncertainties here</t>
        </is>
      </c>
      <c r="D4" s="17" t="inlineStr">
        <is>
          <t>Participant ID</t>
        </is>
      </c>
      <c r="E4" s="11" t="inlineStr">
        <is>
          <t>Crime type</t>
        </is>
      </c>
      <c r="F4" s="11" t="inlineStr">
        <is>
          <t>Verdict condition</t>
        </is>
      </c>
      <c r="G4" s="11" t="inlineStr">
        <is>
          <t>Narrative order</t>
        </is>
      </c>
      <c r="H4" s="11" t="inlineStr">
        <is>
          <t>Word count</t>
        </is>
      </c>
      <c r="I4" s="11" t="inlineStr">
        <is>
          <t>Setting present</t>
        </is>
      </c>
      <c r="J4" s="11" t="inlineStr">
        <is>
          <t>Named characters</t>
        </is>
      </c>
      <c r="K4" s="11" t="inlineStr">
        <is>
          <t>Number of characters</t>
        </is>
      </c>
      <c r="L4" s="11" t="inlineStr">
        <is>
          <t>Temporal sequence</t>
        </is>
      </c>
      <c r="M4" s="11" t="inlineStr">
        <is>
          <t>Causal connections</t>
        </is>
      </c>
      <c r="N4" s="11" t="inlineStr">
        <is>
          <t>Trial described</t>
        </is>
      </c>
      <c r="O4" s="11" t="inlineStr">
        <is>
          <t>Investigation described</t>
        </is>
      </c>
      <c r="P4" s="11" t="inlineStr">
        <is>
          <t>Defendant age specified</t>
        </is>
      </c>
      <c r="Q4" s="11" t="inlineStr">
        <is>
          <t>Defendant is carrier</t>
        </is>
      </c>
      <c r="R4" s="11" t="inlineStr">
        <is>
          <t>Non-carrier defendant role</t>
        </is>
      </c>
      <c r="S4" s="11" t="inlineStr">
        <is>
          <t>Defendant age category</t>
        </is>
      </c>
      <c r="T4" s="11" t="inlineStr">
        <is>
          <t>Socioeconomic status</t>
        </is>
      </c>
      <c r="U4" s="11" t="inlineStr">
        <is>
          <t>Relationship status</t>
        </is>
      </c>
      <c r="V4" s="11" t="inlineStr">
        <is>
          <t>Existing children</t>
        </is>
      </c>
      <c r="W4" s="11" t="inlineStr">
        <is>
          <t>Employment mentioned</t>
        </is>
      </c>
      <c r="X4" s="11" t="inlineStr">
        <is>
          <t>Mental health referenced</t>
        </is>
      </c>
      <c r="Y4" s="11" t="inlineStr">
        <is>
          <t>Substance use referenced</t>
        </is>
      </c>
      <c r="Z4" s="11" t="inlineStr">
        <is>
          <t>Prior criminal history</t>
        </is>
      </c>
      <c r="AA4" s="11" t="inlineStr">
        <is>
          <t>Defendant sympathy</t>
        </is>
      </c>
      <c r="AB4" s="11" t="inlineStr">
        <is>
          <t>Gestational age specified</t>
        </is>
      </c>
      <c r="AC4" s="11" t="inlineStr">
        <is>
          <t>Gestational age category</t>
        </is>
      </c>
      <c r="AD4" s="11" t="inlineStr">
        <is>
          <t>Pregnancy wantedness</t>
        </is>
      </c>
      <c r="AE4" s="11" t="inlineStr">
        <is>
          <t>Pregnancy discovery</t>
        </is>
      </c>
      <c r="AF4" s="11" t="inlineStr">
        <is>
          <t>Prenatal care</t>
        </is>
      </c>
      <c r="AG4" s="11" t="inlineStr">
        <is>
          <t>Concealment of pregnancy</t>
        </is>
      </c>
      <c r="AH4" s="11" t="inlineStr">
        <is>
          <t>Healthcare access</t>
        </is>
      </c>
      <c r="AI4" s="11" t="inlineStr">
        <is>
          <t>Pregnancy outcome</t>
        </is>
      </c>
      <c r="AJ4" s="11" t="inlineStr">
        <is>
          <t>Dominant mental state</t>
        </is>
      </c>
      <c r="AK4" s="11" t="inlineStr">
        <is>
          <t>Planning present</t>
        </is>
      </c>
      <c r="AL4" s="11" t="inlineStr">
        <is>
          <t>Impulsivity present</t>
        </is>
      </c>
      <c r="AM4" s="11" t="inlineStr">
        <is>
          <t>Motive: financial</t>
        </is>
      </c>
      <c r="AN4" s="11" t="inlineStr">
        <is>
          <t>Motive: coercion</t>
        </is>
      </c>
      <c r="AO4" s="11" t="inlineStr">
        <is>
          <t>Motive: fear</t>
        </is>
      </c>
      <c r="AP4" s="11" t="inlineStr">
        <is>
          <t>Motive: medical</t>
        </is>
      </c>
      <c r="AQ4" s="11" t="inlineStr">
        <is>
          <t>Motive: autonomy</t>
        </is>
      </c>
      <c r="AR4" s="11" t="inlineStr">
        <is>
          <t>Motive: desperation</t>
        </is>
      </c>
      <c r="AS4" s="11" t="inlineStr">
        <is>
          <t>Motive: malice</t>
        </is>
      </c>
      <c r="AT4" s="11" t="inlineStr">
        <is>
          <t>Method described</t>
        </is>
      </c>
      <c r="AU4" s="11" t="inlineStr">
        <is>
          <t>Method type</t>
        </is>
      </c>
      <c r="AV4" s="11" t="inlineStr">
        <is>
          <t>Internet searches mentioned</t>
        </is>
      </c>
      <c r="AW4" s="11" t="inlineStr">
        <is>
          <t>Digital evidence</t>
        </is>
      </c>
      <c r="AX4" s="11" t="inlineStr">
        <is>
          <t>Physical evidence</t>
        </is>
      </c>
      <c r="AY4" s="11" t="inlineStr">
        <is>
          <t>Witness testimony</t>
        </is>
      </c>
      <c r="AZ4" s="11" t="inlineStr">
        <is>
          <t>Medical evidence</t>
        </is>
      </c>
      <c r="BA4" s="11" t="inlineStr">
        <is>
          <t>Confession</t>
        </is>
      </c>
      <c r="BB4" s="11" t="inlineStr">
        <is>
          <t>Concealment of evidence</t>
        </is>
      </c>
      <c r="BC4" s="11" t="inlineStr">
        <is>
          <t>Partner present</t>
        </is>
      </c>
      <c r="BD4" s="11" t="inlineStr">
        <is>
          <t>Partner role</t>
        </is>
      </c>
      <c r="BE4" s="11" t="inlineStr">
        <is>
          <t>Healthcare provider present</t>
        </is>
      </c>
      <c r="BF4" s="11" t="inlineStr">
        <is>
          <t>Healthcare provider role</t>
        </is>
      </c>
      <c r="BG4" s="11" t="inlineStr">
        <is>
          <t>Family member present</t>
        </is>
      </c>
      <c r="BH4" s="11" t="inlineStr">
        <is>
          <t>Friend or peer present</t>
        </is>
      </c>
      <c r="BI4" s="11" t="inlineStr">
        <is>
          <t>Law enforcement present</t>
        </is>
      </c>
      <c r="BJ4" s="11" t="inlineStr">
        <is>
          <t>Other culpable party</t>
        </is>
      </c>
      <c r="BK4" s="11" t="inlineStr">
        <is>
          <t>Financial hardship</t>
        </is>
      </c>
      <c r="BL4" s="11" t="inlineStr">
        <is>
          <t>Coercion or pressure</t>
        </is>
      </c>
      <c r="BM4" s="11" t="inlineStr">
        <is>
          <t>Fear of consequences</t>
        </is>
      </c>
      <c r="BN4" s="11" t="inlineStr">
        <is>
          <t>Lack of knowledge</t>
        </is>
      </c>
      <c r="BO4" s="11" t="inlineStr">
        <is>
          <t>Medical necessity</t>
        </is>
      </c>
      <c r="BP4" s="11" t="inlineStr">
        <is>
          <t>Mental health crisis</t>
        </is>
      </c>
      <c r="BQ4" s="11" t="inlineStr">
        <is>
          <t>Lack of access</t>
        </is>
      </c>
      <c r="BR4" s="11" t="inlineStr">
        <is>
          <t>Youth or immaturity</t>
        </is>
      </c>
      <c r="BS4" s="11" t="inlineStr">
        <is>
          <t>Good character evidence</t>
        </is>
      </c>
      <c r="BT4" s="11" t="inlineStr">
        <is>
          <t>Subjective fetal value framing</t>
        </is>
      </c>
      <c r="BU4" s="11" t="inlineStr">
        <is>
          <t>Direct reference to baby or fetus</t>
        </is>
      </c>
      <c r="BV4" s="11" t="inlineStr">
        <is>
          <t>Mitigating factor count</t>
        </is>
      </c>
      <c r="BW4" s="11" t="inlineStr">
        <is>
          <t>Concealment</t>
        </is>
      </c>
      <c r="BX4" s="11" t="inlineStr">
        <is>
          <t>Repeated conduct</t>
        </is>
      </c>
      <c r="BY4" s="11" t="inlineStr">
        <is>
          <t>Disregard for medical advice</t>
        </is>
      </c>
      <c r="BZ4" s="11" t="inlineStr">
        <is>
          <t>Substance involvement</t>
        </is>
      </c>
      <c r="CA4" s="11" t="inlineStr">
        <is>
          <t>Late gestational age</t>
        </is>
      </c>
      <c r="CB4" s="11" t="inlineStr">
        <is>
          <t>Callousness or indifference</t>
        </is>
      </c>
      <c r="CC4" s="11" t="inlineStr">
        <is>
          <t>Deception</t>
        </is>
      </c>
      <c r="CD4" s="11" t="inlineStr">
        <is>
          <t>Endangerment of others</t>
        </is>
      </c>
      <c r="CE4" s="11" t="inlineStr">
        <is>
          <t>Aggravating factor count</t>
        </is>
      </c>
      <c r="CF4" s="11" t="inlineStr">
        <is>
          <t>Total factor count</t>
        </is>
      </c>
      <c r="CG4" s="11" t="inlineStr">
        <is>
          <t>Evidence balance</t>
        </is>
      </c>
      <c r="CH4" s="11" t="inlineStr">
        <is>
          <t>Prosecution argument</t>
        </is>
      </c>
      <c r="CI4" s="11" t="inlineStr">
        <is>
          <t>Defense argument</t>
        </is>
      </c>
      <c r="CJ4" s="11" t="inlineStr">
        <is>
          <t>Jury reasoning</t>
        </is>
      </c>
      <c r="CK4" s="11" t="inlineStr">
        <is>
          <t>Legal terminology</t>
        </is>
      </c>
      <c r="CL4" s="11" t="inlineStr">
        <is>
          <t>Factual ambiguity</t>
        </is>
      </c>
      <c r="CM4" s="11" t="inlineStr">
        <is>
          <t>Legal ambiguity</t>
        </is>
      </c>
      <c r="CN4" s="11" t="inlineStr">
        <is>
          <t>Verdict consistency</t>
        </is>
      </c>
      <c r="CO4" s="11" t="inlineStr">
        <is>
          <t>Real case reference</t>
        </is>
      </c>
      <c r="CP4" s="11" t="inlineStr">
        <is>
          <t>Media framing</t>
        </is>
      </c>
      <c r="CQ4" s="11" t="inlineStr">
        <is>
          <t>Political framing</t>
        </is>
      </c>
    </row>
    <row r="5" ht="15" customHeight="1">
      <c r="A5" s="12" t="n"/>
      <c r="B5" s="12" t="n"/>
      <c r="C5" s="13" t="n"/>
      <c r="D5" s="12" t="n">
        <v>1</v>
      </c>
      <c r="E5" s="12" t="n">
        <v>1</v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  <c r="BN5" s="12" t="n"/>
      <c r="BO5" s="12" t="n"/>
      <c r="BP5" s="12" t="n"/>
      <c r="BQ5" s="12" t="n"/>
      <c r="BR5" s="12" t="n"/>
      <c r="BS5" s="12" t="n"/>
      <c r="BT5" s="12" t="n"/>
      <c r="BU5" s="12" t="n"/>
      <c r="BV5" s="14">
        <f>SUMIFS(BK5:BT5,BK5:BT5,"&gt;=0")</f>
        <v/>
      </c>
      <c r="BW5" s="12" t="n"/>
      <c r="BX5" s="12" t="n"/>
      <c r="BY5" s="12" t="n"/>
      <c r="BZ5" s="12" t="n"/>
      <c r="CA5" s="12" t="n"/>
      <c r="CB5" s="12" t="n"/>
      <c r="CC5" s="12" t="n"/>
      <c r="CD5" s="12" t="n"/>
      <c r="CE5" s="14">
        <f>SUMIFS(BW5:CD5,BW5:CD5,"&gt;=0")</f>
        <v/>
      </c>
      <c r="CF5" s="14">
        <f>BV5+CE5</f>
        <v/>
      </c>
      <c r="CG5" s="12" t="n"/>
      <c r="CH5" s="12" t="n"/>
      <c r="CI5" s="12" t="n"/>
      <c r="CJ5" s="12" t="n"/>
      <c r="CK5" s="12" t="n"/>
      <c r="CL5" s="12" t="n"/>
      <c r="CM5" s="12" t="n"/>
      <c r="CN5" s="12" t="n"/>
      <c r="CO5" s="12" t="n"/>
      <c r="CP5" s="12" t="n"/>
      <c r="CQ5" s="12" t="n"/>
    </row>
    <row r="6" ht="15" customHeight="1">
      <c r="A6" s="12" t="n"/>
      <c r="B6" s="12" t="n"/>
      <c r="C6" s="13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12" t="n"/>
      <c r="BV6" s="14">
        <f>SUMIFS(BK6:BT6,BK6:BT6,"&gt;=0")</f>
        <v/>
      </c>
      <c r="BW6" s="12" t="n"/>
      <c r="BX6" s="12" t="n"/>
      <c r="BY6" s="12" t="n"/>
      <c r="BZ6" s="12" t="n"/>
      <c r="CA6" s="12" t="n"/>
      <c r="CB6" s="12" t="n"/>
      <c r="CC6" s="12" t="n"/>
      <c r="CD6" s="12" t="n"/>
      <c r="CE6" s="14">
        <f>SUMIFS(BW6:CD6,BW6:CD6,"&gt;=0")</f>
        <v/>
      </c>
      <c r="CF6" s="14">
        <f>BV6+CE6</f>
        <v/>
      </c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</row>
    <row r="7" ht="15" customHeight="1">
      <c r="A7" s="12" t="n"/>
      <c r="B7" s="12" t="n"/>
      <c r="C7" s="13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  <c r="BU7" s="12" t="n"/>
      <c r="BV7" s="14">
        <f>SUMIFS(BK7:BT7,BK7:BT7,"&gt;=0")</f>
        <v/>
      </c>
      <c r="BW7" s="12" t="n"/>
      <c r="BX7" s="12" t="n"/>
      <c r="BY7" s="12" t="n"/>
      <c r="BZ7" s="12" t="n"/>
      <c r="CA7" s="12" t="n"/>
      <c r="CB7" s="12" t="n"/>
      <c r="CC7" s="12" t="n"/>
      <c r="CD7" s="12" t="n"/>
      <c r="CE7" s="14">
        <f>SUMIFS(BW7:CD7,BW7:CD7,"&gt;=0")</f>
        <v/>
      </c>
      <c r="CF7" s="14">
        <f>BV7+CE7</f>
        <v/>
      </c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</row>
    <row r="8" ht="15" customHeight="1">
      <c r="A8" s="12" t="n"/>
      <c r="B8" s="12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4">
        <f>SUMIFS(BK8:BT8,BK8:BT8,"&gt;=0")</f>
        <v/>
      </c>
      <c r="BW8" s="12" t="n"/>
      <c r="BX8" s="12" t="n"/>
      <c r="BY8" s="12" t="n"/>
      <c r="BZ8" s="12" t="n"/>
      <c r="CA8" s="12" t="n"/>
      <c r="CB8" s="12" t="n"/>
      <c r="CC8" s="12" t="n"/>
      <c r="CD8" s="12" t="n"/>
      <c r="CE8" s="14">
        <f>SUMIFS(BW8:CD8,BW8:CD8,"&gt;=0")</f>
        <v/>
      </c>
      <c r="CF8" s="14">
        <f>BV8+CE8</f>
        <v/>
      </c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</row>
    <row r="9" ht="15" customHeight="1">
      <c r="A9" s="12" t="n"/>
      <c r="B9" s="12" t="n"/>
      <c r="C9" s="13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12" t="n"/>
      <c r="BS9" s="12" t="n"/>
      <c r="BT9" s="12" t="n"/>
      <c r="BU9" s="12" t="n"/>
      <c r="BV9" s="14">
        <f>SUMIFS(BK9:BT9,BK9:BT9,"&gt;=0")</f>
        <v/>
      </c>
      <c r="BW9" s="12" t="n"/>
      <c r="BX9" s="12" t="n"/>
      <c r="BY9" s="12" t="n"/>
      <c r="BZ9" s="12" t="n"/>
      <c r="CA9" s="12" t="n"/>
      <c r="CB9" s="12" t="n"/>
      <c r="CC9" s="12" t="n"/>
      <c r="CD9" s="12" t="n"/>
      <c r="CE9" s="14">
        <f>SUMIFS(BW9:CD9,BW9:CD9,"&gt;=0")</f>
        <v/>
      </c>
      <c r="CF9" s="14">
        <f>BV9+CE9</f>
        <v/>
      </c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</row>
    <row r="10" ht="15" customHeight="1">
      <c r="A10" s="12" t="n"/>
      <c r="B10" s="12" t="n"/>
      <c r="C10" s="13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12" t="n"/>
      <c r="BV10" s="14">
        <f>SUMIFS(BK10:BT10,BK10:BT10,"&gt;=0")</f>
        <v/>
      </c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4">
        <f>SUMIFS(BW10:CD10,BW10:CD10,"&gt;=0")</f>
        <v/>
      </c>
      <c r="CF10" s="14">
        <f>BV10+CE10</f>
        <v/>
      </c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</row>
    <row r="11" ht="15" customHeight="1">
      <c r="A11" s="12" t="n"/>
      <c r="B11" s="12" t="n"/>
      <c r="C11" s="13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2" t="n"/>
      <c r="BQ11" s="12" t="n"/>
      <c r="BR11" s="12" t="n"/>
      <c r="BS11" s="12" t="n"/>
      <c r="BT11" s="12" t="n"/>
      <c r="BU11" s="12" t="n"/>
      <c r="BV11" s="14">
        <f>SUMIFS(BK11:BT11,BK11:BT11,"&gt;=0")</f>
        <v/>
      </c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4">
        <f>SUMIFS(BW11:CD11,BW11:CD11,"&gt;=0")</f>
        <v/>
      </c>
      <c r="CF11" s="14">
        <f>BV11+CE11</f>
        <v/>
      </c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</row>
    <row r="12" ht="15" customHeight="1">
      <c r="A12" s="12" t="n"/>
      <c r="B12" s="12" t="n"/>
      <c r="C12" s="13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4">
        <f>SUMIFS(BK12:BT12,BK12:BT12,"&gt;=0")</f>
        <v/>
      </c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4">
        <f>SUMIFS(BW12:CD12,BW12:CD12,"&gt;=0")</f>
        <v/>
      </c>
      <c r="CF12" s="14">
        <f>BV12+CE12</f>
        <v/>
      </c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</row>
    <row r="13" ht="15" customHeight="1">
      <c r="A13" s="12" t="n"/>
      <c r="B13" s="12" t="n"/>
      <c r="C13" s="13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2" t="n"/>
      <c r="BQ13" s="12" t="n"/>
      <c r="BR13" s="12" t="n"/>
      <c r="BS13" s="12" t="n"/>
      <c r="BT13" s="12" t="n"/>
      <c r="BU13" s="12" t="n"/>
      <c r="BV13" s="14">
        <f>SUMIFS(BK13:BT13,BK13:BT13,"&gt;=0")</f>
        <v/>
      </c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4">
        <f>SUMIFS(BW13:CD13,BW13:CD13,"&gt;=0")</f>
        <v/>
      </c>
      <c r="CF13" s="14">
        <f>BV13+CE13</f>
        <v/>
      </c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</row>
    <row r="14" ht="15" customHeight="1">
      <c r="A14" s="12" t="n"/>
      <c r="B14" s="12" t="n"/>
      <c r="C14" s="13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12" t="n"/>
      <c r="BV14" s="14">
        <f>SUMIFS(BK14:BT14,BK14:BT14,"&gt;=0")</f>
        <v/>
      </c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4">
        <f>SUMIFS(BW14:CD14,BW14:CD14,"&gt;=0")</f>
        <v/>
      </c>
      <c r="CF14" s="14">
        <f>BV14+CE14</f>
        <v/>
      </c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</row>
    <row r="15" ht="15" customHeight="1">
      <c r="A15" s="12" t="n"/>
      <c r="B15" s="12" t="n"/>
      <c r="C15" s="13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2" t="n"/>
      <c r="BQ15" s="12" t="n"/>
      <c r="BR15" s="12" t="n"/>
      <c r="BS15" s="12" t="n"/>
      <c r="BT15" s="12" t="n"/>
      <c r="BU15" s="12" t="n"/>
      <c r="BV15" s="14">
        <f>SUMIFS(BK15:BT15,BK15:BT15,"&gt;=0")</f>
        <v/>
      </c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4">
        <f>SUMIFS(BW15:CD15,BW15:CD15,"&gt;=0")</f>
        <v/>
      </c>
      <c r="CF15" s="14">
        <f>BV15+CE15</f>
        <v/>
      </c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</row>
    <row r="16" ht="15" customHeight="1">
      <c r="A16" s="12" t="n"/>
      <c r="B16" s="12" t="n"/>
      <c r="C16" s="13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12" t="n"/>
      <c r="BV16" s="14">
        <f>SUMIFS(BK16:BT16,BK16:BT16,"&gt;=0")</f>
        <v/>
      </c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4">
        <f>SUMIFS(BW16:CD16,BW16:CD16,"&gt;=0")</f>
        <v/>
      </c>
      <c r="CF16" s="14">
        <f>BV16+CE16</f>
        <v/>
      </c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</row>
    <row r="17" ht="15" customHeight="1">
      <c r="A17" s="12" t="n"/>
      <c r="B17" s="12" t="n"/>
      <c r="C17" s="13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12" t="n"/>
      <c r="BV17" s="14">
        <f>SUMIFS(BK17:BT17,BK17:BT17,"&gt;=0")</f>
        <v/>
      </c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4">
        <f>SUMIFS(BW17:CD17,BW17:CD17,"&gt;=0")</f>
        <v/>
      </c>
      <c r="CF17" s="14">
        <f>BV17+CE17</f>
        <v/>
      </c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</row>
    <row r="18" ht="15" customHeight="1">
      <c r="A18" s="12" t="n"/>
      <c r="B18" s="12" t="n"/>
      <c r="C18" s="13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12" t="n"/>
      <c r="BV18" s="14">
        <f>SUMIFS(BK18:BT18,BK18:BT18,"&gt;=0")</f>
        <v/>
      </c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4">
        <f>SUMIFS(BW18:CD18,BW18:CD18,"&gt;=0")</f>
        <v/>
      </c>
      <c r="CF18" s="14">
        <f>BV18+CE18</f>
        <v/>
      </c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</row>
    <row r="19" ht="15" customHeight="1">
      <c r="A19" s="12" t="n"/>
      <c r="B19" s="12" t="n"/>
      <c r="C19" s="13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12" t="n"/>
      <c r="BS19" s="12" t="n"/>
      <c r="BT19" s="12" t="n"/>
      <c r="BU19" s="12" t="n"/>
      <c r="BV19" s="14">
        <f>SUMIFS(BK19:BT19,BK19:BT19,"&gt;=0")</f>
        <v/>
      </c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4">
        <f>SUMIFS(BW19:CD19,BW19:CD19,"&gt;=0")</f>
        <v/>
      </c>
      <c r="CF19" s="14">
        <f>BV19+CE19</f>
        <v/>
      </c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</row>
    <row r="20" ht="15" customHeight="1">
      <c r="A20" s="12" t="n"/>
      <c r="B20" s="12" t="n"/>
      <c r="C20" s="13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12" t="n"/>
      <c r="BV20" s="14">
        <f>SUMIFS(BK20:BT20,BK20:BT20,"&gt;=0")</f>
        <v/>
      </c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4">
        <f>SUMIFS(BW20:CD20,BW20:CD20,"&gt;=0")</f>
        <v/>
      </c>
      <c r="CF20" s="14">
        <f>BV20+CE20</f>
        <v/>
      </c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</row>
    <row r="21" ht="15" customHeight="1">
      <c r="A21" s="12" t="n"/>
      <c r="B21" s="12" t="n"/>
      <c r="C21" s="13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12" t="n"/>
      <c r="BV21" s="14">
        <f>SUMIFS(BK21:BT21,BK21:BT21,"&gt;=0")</f>
        <v/>
      </c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4">
        <f>SUMIFS(BW21:CD21,BW21:CD21,"&gt;=0")</f>
        <v/>
      </c>
      <c r="CF21" s="14">
        <f>BV21+CE21</f>
        <v/>
      </c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</row>
    <row r="22" ht="15" customHeight="1">
      <c r="A22" s="12" t="n"/>
      <c r="B22" s="12" t="n"/>
      <c r="C22" s="13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12" t="n"/>
      <c r="BV22" s="14">
        <f>SUMIFS(BK22:BT22,BK22:BT22,"&gt;=0")</f>
        <v/>
      </c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4">
        <f>SUMIFS(BW22:CD22,BW22:CD22,"&gt;=0")</f>
        <v/>
      </c>
      <c r="CF22" s="14">
        <f>BV22+CE22</f>
        <v/>
      </c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</row>
    <row r="23" ht="15" customHeight="1">
      <c r="A23" s="12" t="n"/>
      <c r="B23" s="12" t="n"/>
      <c r="C23" s="13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4">
        <f>SUMIFS(BK23:BT23,BK23:BT23,"&gt;=0")</f>
        <v/>
      </c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4">
        <f>SUMIFS(BW23:CD23,BW23:CD23,"&gt;=0")</f>
        <v/>
      </c>
      <c r="CF23" s="14">
        <f>BV23+CE23</f>
        <v/>
      </c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</row>
    <row r="24" ht="15" customHeight="1">
      <c r="A24" s="12" t="n"/>
      <c r="B24" s="12" t="n"/>
      <c r="C24" s="13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4">
        <f>SUMIFS(BK24:BT24,BK24:BT24,"&gt;=0")</f>
        <v/>
      </c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4">
        <f>SUMIFS(BW24:CD24,BW24:CD24,"&gt;=0")</f>
        <v/>
      </c>
      <c r="CF24" s="14">
        <f>BV24+CE24</f>
        <v/>
      </c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</row>
    <row r="25" ht="15" customHeight="1">
      <c r="A25" s="12" t="n"/>
      <c r="B25" s="12" t="n"/>
      <c r="C25" s="13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4">
        <f>SUMIFS(BK25:BT25,BK25:BT25,"&gt;=0")</f>
        <v/>
      </c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4">
        <f>SUMIFS(BW25:CD25,BW25:CD25,"&gt;=0")</f>
        <v/>
      </c>
      <c r="CF25" s="14">
        <f>BV25+CE25</f>
        <v/>
      </c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</row>
    <row r="26" ht="15" customHeight="1">
      <c r="A26" s="12" t="n"/>
      <c r="B26" s="12" t="n"/>
      <c r="C26" s="13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  <c r="BU26" s="12" t="n"/>
      <c r="BV26" s="14">
        <f>SUMIFS(BK26:BT26,BK26:BT26,"&gt;=0")</f>
        <v/>
      </c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4">
        <f>SUMIFS(BW26:CD26,BW26:CD26,"&gt;=0")</f>
        <v/>
      </c>
      <c r="CF26" s="14">
        <f>BV26+CE26</f>
        <v/>
      </c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</row>
    <row r="27" ht="15" customHeight="1">
      <c r="A27" s="12" t="n"/>
      <c r="B27" s="12" t="n"/>
      <c r="C27" s="13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12" t="n"/>
      <c r="BS27" s="12" t="n"/>
      <c r="BT27" s="12" t="n"/>
      <c r="BU27" s="12" t="n"/>
      <c r="BV27" s="14">
        <f>SUMIFS(BK27:BT27,BK27:BT27,"&gt;=0")</f>
        <v/>
      </c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4">
        <f>SUMIFS(BW27:CD27,BW27:CD27,"&gt;=0")</f>
        <v/>
      </c>
      <c r="CF27" s="14">
        <f>BV27+CE27</f>
        <v/>
      </c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</row>
    <row r="28" ht="15" customHeight="1">
      <c r="A28" s="12" t="n"/>
      <c r="B28" s="12" t="n"/>
      <c r="C28" s="13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12" t="n"/>
      <c r="BV28" s="14">
        <f>SUMIFS(BK28:BT28,BK28:BT28,"&gt;=0")</f>
        <v/>
      </c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4">
        <f>SUMIFS(BW28:CD28,BW28:CD28,"&gt;=0")</f>
        <v/>
      </c>
      <c r="CF28" s="14">
        <f>BV28+CE28</f>
        <v/>
      </c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</row>
    <row r="29" ht="15" customHeight="1">
      <c r="A29" s="12" t="n"/>
      <c r="B29" s="12" t="n"/>
      <c r="C29" s="13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12" t="n"/>
      <c r="BS29" s="12" t="n"/>
      <c r="BT29" s="12" t="n"/>
      <c r="BU29" s="12" t="n"/>
      <c r="BV29" s="14">
        <f>SUMIFS(BK29:BT29,BK29:BT29,"&gt;=0")</f>
        <v/>
      </c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4">
        <f>SUMIFS(BW29:CD29,BW29:CD29,"&gt;=0")</f>
        <v/>
      </c>
      <c r="CF29" s="14">
        <f>BV29+CE29</f>
        <v/>
      </c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</row>
    <row r="30" ht="15" customHeight="1">
      <c r="A30" s="12" t="n"/>
      <c r="B30" s="12" t="n"/>
      <c r="C30" s="13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12" t="n"/>
      <c r="BV30" s="14">
        <f>SUMIFS(BK30:BT30,BK30:BT30,"&gt;=0")</f>
        <v/>
      </c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4">
        <f>SUMIFS(BW30:CD30,BW30:CD30,"&gt;=0")</f>
        <v/>
      </c>
      <c r="CF30" s="14">
        <f>BV30+CE30</f>
        <v/>
      </c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</row>
    <row r="31" ht="15" customHeight="1">
      <c r="A31" s="12" t="n"/>
      <c r="B31" s="12" t="n"/>
      <c r="C31" s="13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  <c r="BU31" s="12" t="n"/>
      <c r="BV31" s="14">
        <f>SUMIFS(BK31:BT31,BK31:BT31,"&gt;=0")</f>
        <v/>
      </c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4">
        <f>SUMIFS(BW31:CD31,BW31:CD31,"&gt;=0")</f>
        <v/>
      </c>
      <c r="CF31" s="14">
        <f>BV31+CE31</f>
        <v/>
      </c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</row>
    <row r="32" ht="15" customHeight="1">
      <c r="A32" s="12" t="n"/>
      <c r="B32" s="12" t="n"/>
      <c r="C32" s="13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12" t="n"/>
      <c r="BV32" s="14">
        <f>SUMIFS(BK32:BT32,BK32:BT32,"&gt;=0")</f>
        <v/>
      </c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4">
        <f>SUMIFS(BW32:CD32,BW32:CD32,"&gt;=0")</f>
        <v/>
      </c>
      <c r="CF32" s="14">
        <f>BV32+CE32</f>
        <v/>
      </c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</row>
    <row r="33" ht="15" customHeight="1">
      <c r="A33" s="12" t="n"/>
      <c r="B33" s="12" t="n"/>
      <c r="C33" s="13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  <c r="BU33" s="12" t="n"/>
      <c r="BV33" s="14">
        <f>SUMIFS(BK33:BT33,BK33:BT33,"&gt;=0")</f>
        <v/>
      </c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4">
        <f>SUMIFS(BW33:CD33,BW33:CD33,"&gt;=0")</f>
        <v/>
      </c>
      <c r="CF33" s="14">
        <f>BV33+CE33</f>
        <v/>
      </c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</row>
    <row r="34" ht="15" customHeight="1">
      <c r="A34" s="12" t="n"/>
      <c r="B34" s="12" t="n"/>
      <c r="C34" s="13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  <c r="BU34" s="12" t="n"/>
      <c r="BV34" s="14">
        <f>SUMIFS(BK34:BT34,BK34:BT34,"&gt;=0")</f>
        <v/>
      </c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4">
        <f>SUMIFS(BW34:CD34,BW34:CD34,"&gt;=0")</f>
        <v/>
      </c>
      <c r="CF34" s="14">
        <f>BV34+CE34</f>
        <v/>
      </c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</row>
    <row r="35" ht="15" customHeight="1">
      <c r="A35" s="12" t="n"/>
      <c r="B35" s="12" t="n"/>
      <c r="C35" s="13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12" t="n"/>
      <c r="BV35" s="14">
        <f>SUMIFS(BK35:BT35,BK35:BT35,"&gt;=0")</f>
        <v/>
      </c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4">
        <f>SUMIFS(BW35:CD35,BW35:CD35,"&gt;=0")</f>
        <v/>
      </c>
      <c r="CF35" s="14">
        <f>BV35+CE35</f>
        <v/>
      </c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</row>
    <row r="36" ht="15" customHeight="1">
      <c r="A36" s="12" t="n"/>
      <c r="B36" s="12" t="n"/>
      <c r="C36" s="13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12" t="n"/>
      <c r="BV36" s="14">
        <f>SUMIFS(BK36:BT36,BK36:BT36,"&gt;=0")</f>
        <v/>
      </c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4">
        <f>SUMIFS(BW36:CD36,BW36:CD36,"&gt;=0")</f>
        <v/>
      </c>
      <c r="CF36" s="14">
        <f>BV36+CE36</f>
        <v/>
      </c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</row>
    <row r="37" ht="15" customHeight="1">
      <c r="A37" s="12" t="n"/>
      <c r="B37" s="12" t="n"/>
      <c r="C37" s="13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12" t="n"/>
      <c r="BV37" s="14">
        <f>SUMIFS(BK37:BT37,BK37:BT37,"&gt;=0")</f>
        <v/>
      </c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4">
        <f>SUMIFS(BW37:CD37,BW37:CD37,"&gt;=0")</f>
        <v/>
      </c>
      <c r="CF37" s="14">
        <f>BV37+CE37</f>
        <v/>
      </c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</row>
    <row r="38" ht="15" customHeight="1">
      <c r="A38" s="12" t="n"/>
      <c r="B38" s="12" t="n"/>
      <c r="C38" s="13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12" t="n"/>
      <c r="BV38" s="14">
        <f>SUMIFS(BK38:BT38,BK38:BT38,"&gt;=0")</f>
        <v/>
      </c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4">
        <f>SUMIFS(BW38:CD38,BW38:CD38,"&gt;=0")</f>
        <v/>
      </c>
      <c r="CF38" s="14">
        <f>BV38+CE38</f>
        <v/>
      </c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</row>
    <row r="39" ht="15" customHeight="1">
      <c r="A39" s="12" t="n"/>
      <c r="B39" s="12" t="n"/>
      <c r="C39" s="13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  <c r="BU39" s="12" t="n"/>
      <c r="BV39" s="14">
        <f>SUMIFS(BK39:BT39,BK39:BT39,"&gt;=0")</f>
        <v/>
      </c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4">
        <f>SUMIFS(BW39:CD39,BW39:CD39,"&gt;=0")</f>
        <v/>
      </c>
      <c r="CF39" s="14">
        <f>BV39+CE39</f>
        <v/>
      </c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</row>
    <row r="40" ht="15" customHeight="1">
      <c r="A40" s="12" t="n"/>
      <c r="B40" s="12" t="n"/>
      <c r="C40" s="13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12" t="n"/>
      <c r="BV40" s="14">
        <f>SUMIFS(BK40:BT40,BK40:BT40,"&gt;=0")</f>
        <v/>
      </c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4">
        <f>SUMIFS(BW40:CD40,BW40:CD40,"&gt;=0")</f>
        <v/>
      </c>
      <c r="CF40" s="14">
        <f>BV40+CE40</f>
        <v/>
      </c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</row>
    <row r="41" ht="15" customHeight="1">
      <c r="A41" s="12" t="n"/>
      <c r="B41" s="12" t="n"/>
      <c r="C41" s="13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  <c r="BU41" s="12" t="n"/>
      <c r="BV41" s="14">
        <f>SUMIFS(BK41:BT41,BK41:BT41,"&gt;=0")</f>
        <v/>
      </c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4">
        <f>SUMIFS(BW41:CD41,BW41:CD41,"&gt;=0")</f>
        <v/>
      </c>
      <c r="CF41" s="14">
        <f>BV41+CE41</f>
        <v/>
      </c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</row>
    <row r="42" ht="15" customHeight="1">
      <c r="A42" s="12" t="n"/>
      <c r="B42" s="12" t="n"/>
      <c r="C42" s="13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4">
        <f>SUMIFS(BK42:BT42,BK42:BT42,"&gt;=0")</f>
        <v/>
      </c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4">
        <f>SUMIFS(BW42:CD42,BW42:CD42,"&gt;=0")</f>
        <v/>
      </c>
      <c r="CF42" s="14">
        <f>BV42+CE42</f>
        <v/>
      </c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</row>
    <row r="43" ht="15" customHeight="1">
      <c r="A43" s="12" t="n"/>
      <c r="B43" s="12" t="n"/>
      <c r="C43" s="13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  <c r="BU43" s="12" t="n"/>
      <c r="BV43" s="14">
        <f>SUMIFS(BK43:BT43,BK43:BT43,"&gt;=0")</f>
        <v/>
      </c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4">
        <f>SUMIFS(BW43:CD43,BW43:CD43,"&gt;=0")</f>
        <v/>
      </c>
      <c r="CF43" s="14">
        <f>BV43+CE43</f>
        <v/>
      </c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</row>
    <row r="44" ht="15" customHeight="1">
      <c r="A44" s="12" t="n"/>
      <c r="B44" s="12" t="n"/>
      <c r="C44" s="13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4">
        <f>SUMIFS(BK44:BT44,BK44:BT44,"&gt;=0")</f>
        <v/>
      </c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4">
        <f>SUMIFS(BW44:CD44,BW44:CD44,"&gt;=0")</f>
        <v/>
      </c>
      <c r="CF44" s="14">
        <f>BV44+CE44</f>
        <v/>
      </c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</row>
    <row r="45" ht="15" customHeight="1">
      <c r="A45" s="12" t="n"/>
      <c r="B45" s="12" t="n"/>
      <c r="C45" s="13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2" t="n"/>
      <c r="BQ45" s="12" t="n"/>
      <c r="BR45" s="12" t="n"/>
      <c r="BS45" s="12" t="n"/>
      <c r="BT45" s="12" t="n"/>
      <c r="BU45" s="12" t="n"/>
      <c r="BV45" s="14">
        <f>SUMIFS(BK45:BT45,BK45:BT45,"&gt;=0")</f>
        <v/>
      </c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4">
        <f>SUMIFS(BW45:CD45,BW45:CD45,"&gt;=0")</f>
        <v/>
      </c>
      <c r="CF45" s="14">
        <f>BV45+CE45</f>
        <v/>
      </c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</row>
    <row r="46" ht="15" customHeight="1">
      <c r="A46" s="12" t="n"/>
      <c r="B46" s="12" t="n"/>
      <c r="C46" s="13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4">
        <f>SUMIFS(BK46:BT46,BK46:BT46,"&gt;=0")</f>
        <v/>
      </c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4">
        <f>SUMIFS(BW46:CD46,BW46:CD46,"&gt;=0")</f>
        <v/>
      </c>
      <c r="CF46" s="14">
        <f>BV46+CE46</f>
        <v/>
      </c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</row>
    <row r="47" ht="15" customHeight="1">
      <c r="A47" s="12" t="n"/>
      <c r="B47" s="12" t="n"/>
      <c r="C47" s="13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12" t="n"/>
      <c r="BV47" s="14">
        <f>SUMIFS(BK47:BT47,BK47:BT47,"&gt;=0")</f>
        <v/>
      </c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4">
        <f>SUMIFS(BW47:CD47,BW47:CD47,"&gt;=0")</f>
        <v/>
      </c>
      <c r="CF47" s="14">
        <f>BV47+CE47</f>
        <v/>
      </c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</row>
    <row r="48" ht="15" customHeight="1">
      <c r="A48" s="12" t="n"/>
      <c r="B48" s="12" t="n"/>
      <c r="C48" s="13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4">
        <f>SUMIFS(BK48:BT48,BK48:BT48,"&gt;=0")</f>
        <v/>
      </c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4">
        <f>SUMIFS(BW48:CD48,BW48:CD48,"&gt;=0")</f>
        <v/>
      </c>
      <c r="CF48" s="14">
        <f>BV48+CE48</f>
        <v/>
      </c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</row>
    <row r="49" ht="15" customHeight="1">
      <c r="A49" s="12" t="n"/>
      <c r="B49" s="12" t="n"/>
      <c r="C49" s="13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2" t="n"/>
      <c r="BQ49" s="12" t="n"/>
      <c r="BR49" s="12" t="n"/>
      <c r="BS49" s="12" t="n"/>
      <c r="BT49" s="12" t="n"/>
      <c r="BU49" s="12" t="n"/>
      <c r="BV49" s="14">
        <f>SUMIFS(BK49:BT49,BK49:BT49,"&gt;=0")</f>
        <v/>
      </c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4">
        <f>SUMIFS(BW49:CD49,BW49:CD49,"&gt;=0")</f>
        <v/>
      </c>
      <c r="CF49" s="14">
        <f>BV49+CE49</f>
        <v/>
      </c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</row>
    <row r="50" ht="15" customHeight="1">
      <c r="A50" s="12" t="n"/>
      <c r="B50" s="12" t="n"/>
      <c r="C50" s="13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  <c r="BN50" s="12" t="n"/>
      <c r="BO50" s="12" t="n"/>
      <c r="BP50" s="12" t="n"/>
      <c r="BQ50" s="12" t="n"/>
      <c r="BR50" s="12" t="n"/>
      <c r="BS50" s="12" t="n"/>
      <c r="BT50" s="12" t="n"/>
      <c r="BU50" s="12" t="n"/>
      <c r="BV50" s="14">
        <f>SUMIFS(BK50:BT50,BK50:BT50,"&gt;=0")</f>
        <v/>
      </c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4">
        <f>SUMIFS(BW50:CD50,BW50:CD50,"&gt;=0")</f>
        <v/>
      </c>
      <c r="CF50" s="14">
        <f>BV50+CE50</f>
        <v/>
      </c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</row>
    <row r="51" ht="15" customHeight="1">
      <c r="A51" s="12" t="n"/>
      <c r="B51" s="12" t="n"/>
      <c r="C51" s="13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  <c r="BN51" s="12" t="n"/>
      <c r="BO51" s="12" t="n"/>
      <c r="BP51" s="12" t="n"/>
      <c r="BQ51" s="12" t="n"/>
      <c r="BR51" s="12" t="n"/>
      <c r="BS51" s="12" t="n"/>
      <c r="BT51" s="12" t="n"/>
      <c r="BU51" s="12" t="n"/>
      <c r="BV51" s="14">
        <f>SUMIFS(BK51:BT51,BK51:BT51,"&gt;=0")</f>
        <v/>
      </c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4">
        <f>SUMIFS(BW51:CD51,BW51:CD51,"&gt;=0")</f>
        <v/>
      </c>
      <c r="CF51" s="14">
        <f>BV51+CE51</f>
        <v/>
      </c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</row>
    <row r="52" ht="15" customHeight="1">
      <c r="A52" s="12" t="n"/>
      <c r="B52" s="12" t="n"/>
      <c r="C52" s="13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4">
        <f>SUMIFS(BK52:BT52,BK52:BT52,"&gt;=0")</f>
        <v/>
      </c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4">
        <f>SUMIFS(BW52:CD52,BW52:CD52,"&gt;=0")</f>
        <v/>
      </c>
      <c r="CF52" s="14">
        <f>BV52+CE52</f>
        <v/>
      </c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</row>
    <row r="53" ht="15" customHeight="1">
      <c r="A53" s="12" t="n"/>
      <c r="B53" s="12" t="n"/>
      <c r="C53" s="13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2" t="n"/>
      <c r="BQ53" s="12" t="n"/>
      <c r="BR53" s="12" t="n"/>
      <c r="BS53" s="12" t="n"/>
      <c r="BT53" s="12" t="n"/>
      <c r="BU53" s="12" t="n"/>
      <c r="BV53" s="14">
        <f>SUMIFS(BK53:BT53,BK53:BT53,"&gt;=0")</f>
        <v/>
      </c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4">
        <f>SUMIFS(BW53:CD53,BW53:CD53,"&gt;=0")</f>
        <v/>
      </c>
      <c r="CF53" s="14">
        <f>BV53+CE53</f>
        <v/>
      </c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</row>
    <row r="54" ht="15" customHeight="1">
      <c r="A54" s="12" t="n"/>
      <c r="B54" s="12" t="n"/>
      <c r="C54" s="13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4">
        <f>SUMIFS(BK54:BT54,BK54:BT54,"&gt;=0")</f>
        <v/>
      </c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4">
        <f>SUMIFS(BW54:CD54,BW54:CD54,"&gt;=0")</f>
        <v/>
      </c>
      <c r="CF54" s="14">
        <f>BV54+CE54</f>
        <v/>
      </c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</row>
    <row r="55" ht="15" customHeight="1">
      <c r="A55" s="12" t="n"/>
      <c r="B55" s="12" t="n"/>
      <c r="C55" s="13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2" t="n"/>
      <c r="BQ55" s="12" t="n"/>
      <c r="BR55" s="12" t="n"/>
      <c r="BS55" s="12" t="n"/>
      <c r="BT55" s="12" t="n"/>
      <c r="BU55" s="12" t="n"/>
      <c r="BV55" s="14">
        <f>SUMIFS(BK55:BT55,BK55:BT55,"&gt;=0")</f>
        <v/>
      </c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4">
        <f>SUMIFS(BW55:CD55,BW55:CD55,"&gt;=0")</f>
        <v/>
      </c>
      <c r="CF55" s="14">
        <f>BV55+CE55</f>
        <v/>
      </c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</row>
    <row r="56" ht="15" customHeight="1">
      <c r="A56" s="12" t="n"/>
      <c r="B56" s="12" t="n"/>
      <c r="C56" s="13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2" t="n"/>
      <c r="BQ56" s="12" t="n"/>
      <c r="BR56" s="12" t="n"/>
      <c r="BS56" s="12" t="n"/>
      <c r="BT56" s="12" t="n"/>
      <c r="BU56" s="12" t="n"/>
      <c r="BV56" s="14">
        <f>SUMIFS(BK56:BT56,BK56:BT56,"&gt;=0")</f>
        <v/>
      </c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4">
        <f>SUMIFS(BW56:CD56,BW56:CD56,"&gt;=0")</f>
        <v/>
      </c>
      <c r="CF56" s="14">
        <f>BV56+CE56</f>
        <v/>
      </c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</row>
    <row r="57" ht="15" customHeight="1">
      <c r="A57" s="12" t="n"/>
      <c r="B57" s="12" t="n"/>
      <c r="C57" s="13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4">
        <f>SUMIFS(BK57:BT57,BK57:BT57,"&gt;=0")</f>
        <v/>
      </c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4">
        <f>SUMIFS(BW57:CD57,BW57:CD57,"&gt;=0")</f>
        <v/>
      </c>
      <c r="CF57" s="14">
        <f>BV57+CE57</f>
        <v/>
      </c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</row>
    <row r="58" ht="15" customHeight="1">
      <c r="A58" s="12" t="n"/>
      <c r="B58" s="12" t="n"/>
      <c r="C58" s="13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4">
        <f>SUMIFS(BK58:BT58,BK58:BT58,"&gt;=0")</f>
        <v/>
      </c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4">
        <f>SUMIFS(BW58:CD58,BW58:CD58,"&gt;=0")</f>
        <v/>
      </c>
      <c r="CF58" s="14">
        <f>BV58+CE58</f>
        <v/>
      </c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</row>
    <row r="59" ht="15" customHeight="1">
      <c r="A59" s="12" t="n"/>
      <c r="B59" s="12" t="n"/>
      <c r="C59" s="13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4">
        <f>SUMIFS(BK59:BT59,BK59:BT59,"&gt;=0")</f>
        <v/>
      </c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4">
        <f>SUMIFS(BW59:CD59,BW59:CD59,"&gt;=0")</f>
        <v/>
      </c>
      <c r="CF59" s="14">
        <f>BV59+CE59</f>
        <v/>
      </c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</row>
    <row r="60" ht="15" customHeight="1">
      <c r="A60" s="12" t="n"/>
      <c r="B60" s="12" t="n"/>
      <c r="C60" s="13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4">
        <f>SUMIFS(BK60:BT60,BK60:BT60,"&gt;=0")</f>
        <v/>
      </c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4">
        <f>SUMIFS(BW60:CD60,BW60:CD60,"&gt;=0")</f>
        <v/>
      </c>
      <c r="CF60" s="14">
        <f>BV60+CE60</f>
        <v/>
      </c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</row>
    <row r="61" ht="15" customHeight="1">
      <c r="A61" s="12" t="n"/>
      <c r="B61" s="12" t="n"/>
      <c r="C61" s="13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2" t="n"/>
      <c r="BQ61" s="12" t="n"/>
      <c r="BR61" s="12" t="n"/>
      <c r="BS61" s="12" t="n"/>
      <c r="BT61" s="12" t="n"/>
      <c r="BU61" s="12" t="n"/>
      <c r="BV61" s="14">
        <f>SUMIFS(BK61:BT61,BK61:BT61,"&gt;=0")</f>
        <v/>
      </c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4">
        <f>SUMIFS(BW61:CD61,BW61:CD61,"&gt;=0")</f>
        <v/>
      </c>
      <c r="CF61" s="14">
        <f>BV61+CE61</f>
        <v/>
      </c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</row>
    <row r="62" ht="15" customHeight="1">
      <c r="A62" s="12" t="n"/>
      <c r="B62" s="12" t="n"/>
      <c r="C62" s="13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4">
        <f>SUMIFS(BK62:BT62,BK62:BT62,"&gt;=0")</f>
        <v/>
      </c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4">
        <f>SUMIFS(BW62:CD62,BW62:CD62,"&gt;=0")</f>
        <v/>
      </c>
      <c r="CF62" s="14">
        <f>BV62+CE62</f>
        <v/>
      </c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</row>
    <row r="63" ht="15" customHeight="1">
      <c r="A63" s="12" t="n"/>
      <c r="B63" s="12" t="n"/>
      <c r="C63" s="13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4">
        <f>SUMIFS(BK63:BT63,BK63:BT63,"&gt;=0")</f>
        <v/>
      </c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4">
        <f>SUMIFS(BW63:CD63,BW63:CD63,"&gt;=0")</f>
        <v/>
      </c>
      <c r="CF63" s="14">
        <f>BV63+CE63</f>
        <v/>
      </c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</row>
    <row r="64" ht="15" customHeight="1">
      <c r="A64" s="12" t="n"/>
      <c r="B64" s="12" t="n"/>
      <c r="C64" s="13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4">
        <f>SUMIFS(BK64:BT64,BK64:BT64,"&gt;=0")</f>
        <v/>
      </c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4">
        <f>SUMIFS(BW64:CD64,BW64:CD64,"&gt;=0")</f>
        <v/>
      </c>
      <c r="CF64" s="14">
        <f>BV64+CE64</f>
        <v/>
      </c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</row>
    <row r="65" ht="15" customHeight="1">
      <c r="A65" s="12" t="n"/>
      <c r="B65" s="12" t="n"/>
      <c r="C65" s="13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4">
        <f>SUMIFS(BK65:BT65,BK65:BT65,"&gt;=0")</f>
        <v/>
      </c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4">
        <f>SUMIFS(BW65:CD65,BW65:CD65,"&gt;=0")</f>
        <v/>
      </c>
      <c r="CF65" s="14">
        <f>BV65+CE65</f>
        <v/>
      </c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</row>
    <row r="66" ht="15" customHeight="1">
      <c r="A66" s="12" t="n"/>
      <c r="B66" s="12" t="n"/>
      <c r="C66" s="13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4">
        <f>SUMIFS(BK66:BT66,BK66:BT66,"&gt;=0")</f>
        <v/>
      </c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4">
        <f>SUMIFS(BW66:CD66,BW66:CD66,"&gt;=0")</f>
        <v/>
      </c>
      <c r="CF66" s="14">
        <f>BV66+CE66</f>
        <v/>
      </c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</row>
    <row r="67" ht="15" customHeight="1">
      <c r="A67" s="12" t="n"/>
      <c r="B67" s="12" t="n"/>
      <c r="C67" s="13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4">
        <f>SUMIFS(BK67:BT67,BK67:BT67,"&gt;=0")</f>
        <v/>
      </c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4">
        <f>SUMIFS(BW67:CD67,BW67:CD67,"&gt;=0")</f>
        <v/>
      </c>
      <c r="CF67" s="14">
        <f>BV67+CE67</f>
        <v/>
      </c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</row>
    <row r="68" ht="15" customHeight="1">
      <c r="A68" s="12" t="n"/>
      <c r="B68" s="12" t="n"/>
      <c r="C68" s="13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4">
        <f>SUMIFS(BK68:BT68,BK68:BT68,"&gt;=0")</f>
        <v/>
      </c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4">
        <f>SUMIFS(BW68:CD68,BW68:CD68,"&gt;=0")</f>
        <v/>
      </c>
      <c r="CF68" s="14">
        <f>BV68+CE68</f>
        <v/>
      </c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</row>
    <row r="69" ht="15" customHeight="1">
      <c r="A69" s="12" t="n"/>
      <c r="B69" s="12" t="n"/>
      <c r="C69" s="13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4">
        <f>SUMIFS(BK69:BT69,BK69:BT69,"&gt;=0")</f>
        <v/>
      </c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4">
        <f>SUMIFS(BW69:CD69,BW69:CD69,"&gt;=0")</f>
        <v/>
      </c>
      <c r="CF69" s="14">
        <f>BV69+CE69</f>
        <v/>
      </c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</row>
    <row r="70" ht="15" customHeight="1">
      <c r="A70" s="12" t="n"/>
      <c r="B70" s="12" t="n"/>
      <c r="C70" s="13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4">
        <f>SUMIFS(BK70:BT70,BK70:BT70,"&gt;=0")</f>
        <v/>
      </c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4">
        <f>SUMIFS(BW70:CD70,BW70:CD70,"&gt;=0")</f>
        <v/>
      </c>
      <c r="CF70" s="14">
        <f>BV70+CE70</f>
        <v/>
      </c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</row>
    <row r="71" ht="15" customHeight="1">
      <c r="A71" s="12" t="n"/>
      <c r="B71" s="12" t="n"/>
      <c r="C71" s="13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4">
        <f>SUMIFS(BK71:BT71,BK71:BT71,"&gt;=0")</f>
        <v/>
      </c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4">
        <f>SUMIFS(BW71:CD71,BW71:CD71,"&gt;=0")</f>
        <v/>
      </c>
      <c r="CF71" s="14">
        <f>BV71+CE71</f>
        <v/>
      </c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</row>
    <row r="72" ht="15" customHeight="1">
      <c r="A72" s="12" t="n"/>
      <c r="B72" s="12" t="n"/>
      <c r="C72" s="13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4">
        <f>SUMIFS(BK72:BT72,BK72:BT72,"&gt;=0")</f>
        <v/>
      </c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4">
        <f>SUMIFS(BW72:CD72,BW72:CD72,"&gt;=0")</f>
        <v/>
      </c>
      <c r="CF72" s="14">
        <f>BV72+CE72</f>
        <v/>
      </c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</row>
    <row r="73" ht="15" customHeight="1">
      <c r="A73" s="12" t="n"/>
      <c r="B73" s="12" t="n"/>
      <c r="C73" s="13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4">
        <f>SUMIFS(BK73:BT73,BK73:BT73,"&gt;=0")</f>
        <v/>
      </c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4">
        <f>SUMIFS(BW73:CD73,BW73:CD73,"&gt;=0")</f>
        <v/>
      </c>
      <c r="CF73" s="14">
        <f>BV73+CE73</f>
        <v/>
      </c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</row>
    <row r="74" ht="15" customHeight="1">
      <c r="A74" s="12" t="n"/>
      <c r="B74" s="12" t="n"/>
      <c r="C74" s="13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4">
        <f>SUMIFS(BK74:BT74,BK74:BT74,"&gt;=0")</f>
        <v/>
      </c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4">
        <f>SUMIFS(BW74:CD74,BW74:CD74,"&gt;=0")</f>
        <v/>
      </c>
      <c r="CF74" s="14">
        <f>BV74+CE74</f>
        <v/>
      </c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</row>
    <row r="75" ht="15" customHeight="1">
      <c r="A75" s="12" t="n"/>
      <c r="B75" s="12" t="n"/>
      <c r="C75" s="13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4">
        <f>SUMIFS(BK75:BT75,BK75:BT75,"&gt;=0")</f>
        <v/>
      </c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4">
        <f>SUMIFS(BW75:CD75,BW75:CD75,"&gt;=0")</f>
        <v/>
      </c>
      <c r="CF75" s="14">
        <f>BV75+CE75</f>
        <v/>
      </c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</row>
    <row r="76" ht="15" customHeight="1">
      <c r="A76" s="12" t="n"/>
      <c r="B76" s="12" t="n"/>
      <c r="C76" s="13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4">
        <f>SUMIFS(BK76:BT76,BK76:BT76,"&gt;=0")</f>
        <v/>
      </c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4">
        <f>SUMIFS(BW76:CD76,BW76:CD76,"&gt;=0")</f>
        <v/>
      </c>
      <c r="CF76" s="14">
        <f>BV76+CE76</f>
        <v/>
      </c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</row>
    <row r="77" ht="15" customHeight="1">
      <c r="A77" s="12" t="n"/>
      <c r="B77" s="12" t="n"/>
      <c r="C77" s="13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4">
        <f>SUMIFS(BK77:BT77,BK77:BT77,"&gt;=0")</f>
        <v/>
      </c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4">
        <f>SUMIFS(BW77:CD77,BW77:CD77,"&gt;=0")</f>
        <v/>
      </c>
      <c r="CF77" s="14">
        <f>BV77+CE77</f>
        <v/>
      </c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</row>
    <row r="78" ht="15" customHeight="1">
      <c r="A78" s="12" t="n"/>
      <c r="B78" s="12" t="n"/>
      <c r="C78" s="13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4">
        <f>SUMIFS(BK78:BT78,BK78:BT78,"&gt;=0")</f>
        <v/>
      </c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4">
        <f>SUMIFS(BW78:CD78,BW78:CD78,"&gt;=0")</f>
        <v/>
      </c>
      <c r="CF78" s="14">
        <f>BV78+CE78</f>
        <v/>
      </c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</row>
    <row r="79" ht="15" customHeight="1">
      <c r="A79" s="12" t="n"/>
      <c r="B79" s="12" t="n"/>
      <c r="C79" s="13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4">
        <f>SUMIFS(BK79:BT79,BK79:BT79,"&gt;=0")</f>
        <v/>
      </c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4">
        <f>SUMIFS(BW79:CD79,BW79:CD79,"&gt;=0")</f>
        <v/>
      </c>
      <c r="CF79" s="14">
        <f>BV79+CE79</f>
        <v/>
      </c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</row>
    <row r="80" ht="15" customHeight="1">
      <c r="A80" s="12" t="n"/>
      <c r="B80" s="12" t="n"/>
      <c r="C80" s="13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4">
        <f>SUMIFS(BK80:BT80,BK80:BT80,"&gt;=0")</f>
        <v/>
      </c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4">
        <f>SUMIFS(BW80:CD80,BW80:CD80,"&gt;=0")</f>
        <v/>
      </c>
      <c r="CF80" s="14">
        <f>BV80+CE80</f>
        <v/>
      </c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</row>
    <row r="81" ht="15" customHeight="1">
      <c r="A81" s="12" t="n"/>
      <c r="B81" s="12" t="n"/>
      <c r="C81" s="13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4">
        <f>SUMIFS(BK81:BT81,BK81:BT81,"&gt;=0")</f>
        <v/>
      </c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4">
        <f>SUMIFS(BW81:CD81,BW81:CD81,"&gt;=0")</f>
        <v/>
      </c>
      <c r="CF81" s="14">
        <f>BV81+CE81</f>
        <v/>
      </c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</row>
    <row r="82" ht="15" customHeight="1">
      <c r="A82" s="12" t="n"/>
      <c r="B82" s="12" t="n"/>
      <c r="C82" s="13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4">
        <f>SUMIFS(BK82:BT82,BK82:BT82,"&gt;=0")</f>
        <v/>
      </c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4">
        <f>SUMIFS(BW82:CD82,BW82:CD82,"&gt;=0")</f>
        <v/>
      </c>
      <c r="CF82" s="14">
        <f>BV82+CE82</f>
        <v/>
      </c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</row>
    <row r="83" ht="15" customHeight="1">
      <c r="A83" s="12" t="n"/>
      <c r="B83" s="12" t="n"/>
      <c r="C83" s="13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4">
        <f>SUMIFS(BK83:BT83,BK83:BT83,"&gt;=0")</f>
        <v/>
      </c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4">
        <f>SUMIFS(BW83:CD83,BW83:CD83,"&gt;=0")</f>
        <v/>
      </c>
      <c r="CF83" s="14">
        <f>BV83+CE83</f>
        <v/>
      </c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</row>
    <row r="84" ht="15" customHeight="1">
      <c r="A84" s="12" t="n"/>
      <c r="B84" s="12" t="n"/>
      <c r="C84" s="13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4">
        <f>SUMIFS(BK84:BT84,BK84:BT84,"&gt;=0")</f>
        <v/>
      </c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4">
        <f>SUMIFS(BW84:CD84,BW84:CD84,"&gt;=0")</f>
        <v/>
      </c>
      <c r="CF84" s="14">
        <f>BV84+CE84</f>
        <v/>
      </c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</row>
    <row r="85" ht="15" customHeight="1">
      <c r="A85" s="12" t="n"/>
      <c r="B85" s="12" t="n"/>
      <c r="C85" s="13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4">
        <f>SUMIFS(BK85:BT85,BK85:BT85,"&gt;=0")</f>
        <v/>
      </c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4">
        <f>SUMIFS(BW85:CD85,BW85:CD85,"&gt;=0")</f>
        <v/>
      </c>
      <c r="CF85" s="14">
        <f>BV85+CE85</f>
        <v/>
      </c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</row>
    <row r="86" ht="15" customHeight="1">
      <c r="A86" s="12" t="n"/>
      <c r="B86" s="12" t="n"/>
      <c r="C86" s="13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4">
        <f>SUMIFS(BK86:BT86,BK86:BT86,"&gt;=0")</f>
        <v/>
      </c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4">
        <f>SUMIFS(BW86:CD86,BW86:CD86,"&gt;=0")</f>
        <v/>
      </c>
      <c r="CF86" s="14">
        <f>BV86+CE86</f>
        <v/>
      </c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</row>
    <row r="87" ht="15" customHeight="1">
      <c r="A87" s="12" t="n"/>
      <c r="B87" s="12" t="n"/>
      <c r="C87" s="13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4">
        <f>SUMIFS(BK87:BT87,BK87:BT87,"&gt;=0")</f>
        <v/>
      </c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4">
        <f>SUMIFS(BW87:CD87,BW87:CD87,"&gt;=0")</f>
        <v/>
      </c>
      <c r="CF87" s="14">
        <f>BV87+CE87</f>
        <v/>
      </c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</row>
    <row r="88" ht="15" customHeight="1">
      <c r="A88" s="12" t="n"/>
      <c r="B88" s="12" t="n"/>
      <c r="C88" s="13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4">
        <f>SUMIFS(BK88:BT88,BK88:BT88,"&gt;=0")</f>
        <v/>
      </c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4">
        <f>SUMIFS(BW88:CD88,BW88:CD88,"&gt;=0")</f>
        <v/>
      </c>
      <c r="CF88" s="14">
        <f>BV88+CE88</f>
        <v/>
      </c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</row>
    <row r="89" ht="15" customHeight="1">
      <c r="A89" s="12" t="n"/>
      <c r="B89" s="12" t="n"/>
      <c r="C89" s="13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4">
        <f>SUMIFS(BK89:BT89,BK89:BT89,"&gt;=0")</f>
        <v/>
      </c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4">
        <f>SUMIFS(BW89:CD89,BW89:CD89,"&gt;=0")</f>
        <v/>
      </c>
      <c r="CF89" s="14">
        <f>BV89+CE89</f>
        <v/>
      </c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</row>
    <row r="90" ht="15" customHeight="1">
      <c r="A90" s="12" t="n"/>
      <c r="B90" s="12" t="n"/>
      <c r="C90" s="13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4">
        <f>SUMIFS(BK90:BT90,BK90:BT90,"&gt;=0")</f>
        <v/>
      </c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4">
        <f>SUMIFS(BW90:CD90,BW90:CD90,"&gt;=0")</f>
        <v/>
      </c>
      <c r="CF90" s="14">
        <f>BV90+CE90</f>
        <v/>
      </c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</row>
    <row r="91" ht="15" customHeight="1">
      <c r="A91" s="12" t="n"/>
      <c r="B91" s="12" t="n"/>
      <c r="C91" s="13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4">
        <f>SUMIFS(BK91:BT91,BK91:BT91,"&gt;=0")</f>
        <v/>
      </c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4">
        <f>SUMIFS(BW91:CD91,BW91:CD91,"&gt;=0")</f>
        <v/>
      </c>
      <c r="CF91" s="14">
        <f>BV91+CE91</f>
        <v/>
      </c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</row>
    <row r="92" ht="15" customHeight="1">
      <c r="A92" s="12" t="n"/>
      <c r="B92" s="12" t="n"/>
      <c r="C92" s="13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4">
        <f>SUMIFS(BK92:BT92,BK92:BT92,"&gt;=0")</f>
        <v/>
      </c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4">
        <f>SUMIFS(BW92:CD92,BW92:CD92,"&gt;=0")</f>
        <v/>
      </c>
      <c r="CF92" s="14">
        <f>BV92+CE92</f>
        <v/>
      </c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</row>
    <row r="93" ht="15" customHeight="1">
      <c r="A93" s="12" t="n"/>
      <c r="B93" s="12" t="n"/>
      <c r="C93" s="13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4">
        <f>SUMIFS(BK93:BT93,BK93:BT93,"&gt;=0")</f>
        <v/>
      </c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4">
        <f>SUMIFS(BW93:CD93,BW93:CD93,"&gt;=0")</f>
        <v/>
      </c>
      <c r="CF93" s="14">
        <f>BV93+CE93</f>
        <v/>
      </c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</row>
    <row r="94" ht="15" customHeight="1">
      <c r="A94" s="12" t="n"/>
      <c r="B94" s="12" t="n"/>
      <c r="C94" s="13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4">
        <f>SUMIFS(BK94:BT94,BK94:BT94,"&gt;=0")</f>
        <v/>
      </c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4">
        <f>SUMIFS(BW94:CD94,BW94:CD94,"&gt;=0")</f>
        <v/>
      </c>
      <c r="CF94" s="14">
        <f>BV94+CE94</f>
        <v/>
      </c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</row>
    <row r="95" ht="15" customHeight="1">
      <c r="A95" s="12" t="n"/>
      <c r="B95" s="12" t="n"/>
      <c r="C95" s="13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4">
        <f>SUMIFS(BK95:BT95,BK95:BT95,"&gt;=0")</f>
        <v/>
      </c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4">
        <f>SUMIFS(BW95:CD95,BW95:CD95,"&gt;=0")</f>
        <v/>
      </c>
      <c r="CF95" s="14">
        <f>BV95+CE95</f>
        <v/>
      </c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</row>
    <row r="96" ht="15" customHeight="1">
      <c r="A96" s="12" t="n"/>
      <c r="B96" s="12" t="n"/>
      <c r="C96" s="13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4">
        <f>SUMIFS(BK96:BT96,BK96:BT96,"&gt;=0")</f>
        <v/>
      </c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4">
        <f>SUMIFS(BW96:CD96,BW96:CD96,"&gt;=0")</f>
        <v/>
      </c>
      <c r="CF96" s="14">
        <f>BV96+CE96</f>
        <v/>
      </c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</row>
    <row r="97" ht="15" customHeight="1">
      <c r="A97" s="12" t="n"/>
      <c r="B97" s="12" t="n"/>
      <c r="C97" s="13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4">
        <f>SUMIFS(BK97:BT97,BK97:BT97,"&gt;=0")</f>
        <v/>
      </c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4">
        <f>SUMIFS(BW97:CD97,BW97:CD97,"&gt;=0")</f>
        <v/>
      </c>
      <c r="CF97" s="14">
        <f>BV97+CE97</f>
        <v/>
      </c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</row>
    <row r="98" ht="15" customHeight="1">
      <c r="A98" s="12" t="n"/>
      <c r="B98" s="12" t="n"/>
      <c r="C98" s="13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4">
        <f>SUMIFS(BK98:BT98,BK98:BT98,"&gt;=0")</f>
        <v/>
      </c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4">
        <f>SUMIFS(BW98:CD98,BW98:CD98,"&gt;=0")</f>
        <v/>
      </c>
      <c r="CF98" s="14">
        <f>BV98+CE98</f>
        <v/>
      </c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</row>
    <row r="99" ht="15" customHeight="1">
      <c r="A99" s="12" t="n"/>
      <c r="B99" s="12" t="n"/>
      <c r="C99" s="13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4">
        <f>SUMIFS(BK99:BT99,BK99:BT99,"&gt;=0")</f>
        <v/>
      </c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4">
        <f>SUMIFS(BW99:CD99,BW99:CD99,"&gt;=0")</f>
        <v/>
      </c>
      <c r="CF99" s="14">
        <f>BV99+CE99</f>
        <v/>
      </c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</row>
    <row r="100" ht="15" customHeight="1">
      <c r="A100" s="12" t="n"/>
      <c r="B100" s="12" t="n"/>
      <c r="C100" s="13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4">
        <f>SUMIFS(BK100:BT100,BK100:BT100,"&gt;=0")</f>
        <v/>
      </c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4">
        <f>SUMIFS(BW100:CD100,BW100:CD100,"&gt;=0")</f>
        <v/>
      </c>
      <c r="CF100" s="14">
        <f>BV100+CE100</f>
        <v/>
      </c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</row>
    <row r="101" ht="15" customHeight="1">
      <c r="A101" s="12" t="n"/>
      <c r="B101" s="12" t="n"/>
      <c r="C101" s="13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4">
        <f>SUMIFS(BK101:BT101,BK101:BT101,"&gt;=0")</f>
        <v/>
      </c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4">
        <f>SUMIFS(BW101:CD101,BW101:CD101,"&gt;=0")</f>
        <v/>
      </c>
      <c r="CF101" s="14">
        <f>BV101+CE101</f>
        <v/>
      </c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</row>
    <row r="102" ht="15" customHeight="1">
      <c r="A102" s="12" t="n"/>
      <c r="B102" s="12" t="n"/>
      <c r="C102" s="13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4">
        <f>SUMIFS(BK102:BT102,BK102:BT102,"&gt;=0")</f>
        <v/>
      </c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4">
        <f>SUMIFS(BW102:CD102,BW102:CD102,"&gt;=0")</f>
        <v/>
      </c>
      <c r="CF102" s="14">
        <f>BV102+CE102</f>
        <v/>
      </c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</row>
    <row r="103" ht="15" customHeight="1">
      <c r="A103" s="12" t="n"/>
      <c r="B103" s="12" t="n"/>
      <c r="C103" s="13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4">
        <f>SUMIFS(BK103:BT103,BK103:BT103,"&gt;=0")</f>
        <v/>
      </c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4">
        <f>SUMIFS(BW103:CD103,BW103:CD103,"&gt;=0")</f>
        <v/>
      </c>
      <c r="CF103" s="14">
        <f>BV103+CE103</f>
        <v/>
      </c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</row>
    <row r="104" ht="15" customHeight="1">
      <c r="A104" s="12" t="n"/>
      <c r="B104" s="12" t="n"/>
      <c r="C104" s="13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4">
        <f>SUMIFS(BK104:BT104,BK104:BT104,"&gt;=0")</f>
        <v/>
      </c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4">
        <f>SUMIFS(BW104:CD104,BW104:CD104,"&gt;=0")</f>
        <v/>
      </c>
      <c r="CF104" s="14">
        <f>BV104+CE104</f>
        <v/>
      </c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</row>
    <row r="105" ht="15" customHeight="1">
      <c r="A105" s="12" t="n"/>
      <c r="B105" s="12" t="n"/>
      <c r="C105" s="13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4">
        <f>SUMIFS(BK105:BT105,BK105:BT105,"&gt;=0")</f>
        <v/>
      </c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4">
        <f>SUMIFS(BW105:CD105,BW105:CD105,"&gt;=0")</f>
        <v/>
      </c>
      <c r="CF105" s="14">
        <f>BV105+CE105</f>
        <v/>
      </c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</row>
    <row r="106" ht="15" customHeight="1">
      <c r="A106" s="12" t="n"/>
      <c r="B106" s="12" t="n"/>
      <c r="C106" s="13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4">
        <f>SUMIFS(BK106:BT106,BK106:BT106,"&gt;=0")</f>
        <v/>
      </c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4">
        <f>SUMIFS(BW106:CD106,BW106:CD106,"&gt;=0")</f>
        <v/>
      </c>
      <c r="CF106" s="14">
        <f>BV106+CE106</f>
        <v/>
      </c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</row>
    <row r="107" ht="15" customHeight="1">
      <c r="A107" s="12" t="n"/>
      <c r="B107" s="12" t="n"/>
      <c r="C107" s="13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4">
        <f>SUMIFS(BK107:BT107,BK107:BT107,"&gt;=0")</f>
        <v/>
      </c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4">
        <f>SUMIFS(BW107:CD107,BW107:CD107,"&gt;=0")</f>
        <v/>
      </c>
      <c r="CF107" s="14">
        <f>BV107+CE107</f>
        <v/>
      </c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</row>
    <row r="108" ht="15" customHeight="1">
      <c r="A108" s="12" t="n"/>
      <c r="B108" s="12" t="n"/>
      <c r="C108" s="13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4">
        <f>SUMIFS(BK108:BT108,BK108:BT108,"&gt;=0")</f>
        <v/>
      </c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4">
        <f>SUMIFS(BW108:CD108,BW108:CD108,"&gt;=0")</f>
        <v/>
      </c>
      <c r="CF108" s="14">
        <f>BV108+CE108</f>
        <v/>
      </c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</row>
    <row r="109" ht="15" customHeight="1">
      <c r="A109" s="12" t="n"/>
      <c r="B109" s="12" t="n"/>
      <c r="C109" s="13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4">
        <f>SUMIFS(BK109:BT109,BK109:BT109,"&gt;=0")</f>
        <v/>
      </c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4">
        <f>SUMIFS(BW109:CD109,BW109:CD109,"&gt;=0")</f>
        <v/>
      </c>
      <c r="CF109" s="14">
        <f>BV109+CE109</f>
        <v/>
      </c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</row>
    <row r="110" ht="15" customHeight="1">
      <c r="A110" s="12" t="n"/>
      <c r="B110" s="12" t="n"/>
      <c r="C110" s="13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4">
        <f>SUMIFS(BK110:BT110,BK110:BT110,"&gt;=0")</f>
        <v/>
      </c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4">
        <f>SUMIFS(BW110:CD110,BW110:CD110,"&gt;=0")</f>
        <v/>
      </c>
      <c r="CF110" s="14">
        <f>BV110+CE110</f>
        <v/>
      </c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</row>
    <row r="111" ht="15" customHeight="1">
      <c r="A111" s="12" t="n"/>
      <c r="B111" s="12" t="n"/>
      <c r="C111" s="13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4">
        <f>SUMIFS(BK111:BT111,BK111:BT111,"&gt;=0")</f>
        <v/>
      </c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4">
        <f>SUMIFS(BW111:CD111,BW111:CD111,"&gt;=0")</f>
        <v/>
      </c>
      <c r="CF111" s="14">
        <f>BV111+CE111</f>
        <v/>
      </c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</row>
    <row r="112" ht="15" customHeight="1">
      <c r="A112" s="12" t="n"/>
      <c r="B112" s="12" t="n"/>
      <c r="C112" s="13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4">
        <f>SUMIFS(BK112:BT112,BK112:BT112,"&gt;=0")</f>
        <v/>
      </c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4">
        <f>SUMIFS(BW112:CD112,BW112:CD112,"&gt;=0")</f>
        <v/>
      </c>
      <c r="CF112" s="14">
        <f>BV112+CE112</f>
        <v/>
      </c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</row>
    <row r="113" ht="15" customHeight="1">
      <c r="A113" s="12" t="n"/>
      <c r="B113" s="12" t="n"/>
      <c r="C113" s="13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4">
        <f>SUMIFS(BK113:BT113,BK113:BT113,"&gt;=0")</f>
        <v/>
      </c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4">
        <f>SUMIFS(BW113:CD113,BW113:CD113,"&gt;=0")</f>
        <v/>
      </c>
      <c r="CF113" s="14">
        <f>BV113+CE113</f>
        <v/>
      </c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</row>
    <row r="114" ht="15" customHeight="1">
      <c r="A114" s="12" t="n"/>
      <c r="B114" s="12" t="n"/>
      <c r="C114" s="13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4">
        <f>SUMIFS(BK114:BT114,BK114:BT114,"&gt;=0")</f>
        <v/>
      </c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4">
        <f>SUMIFS(BW114:CD114,BW114:CD114,"&gt;=0")</f>
        <v/>
      </c>
      <c r="CF114" s="14">
        <f>BV114+CE114</f>
        <v/>
      </c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</row>
    <row r="115" ht="15" customHeight="1">
      <c r="A115" s="12" t="n"/>
      <c r="B115" s="12" t="n"/>
      <c r="C115" s="13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4">
        <f>SUMIFS(BK115:BT115,BK115:BT115,"&gt;=0")</f>
        <v/>
      </c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4">
        <f>SUMIFS(BW115:CD115,BW115:CD115,"&gt;=0")</f>
        <v/>
      </c>
      <c r="CF115" s="14">
        <f>BV115+CE115</f>
        <v/>
      </c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</row>
    <row r="116" ht="15" customHeight="1">
      <c r="A116" s="12" t="n"/>
      <c r="B116" s="12" t="n"/>
      <c r="C116" s="13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4">
        <f>SUMIFS(BK116:BT116,BK116:BT116,"&gt;=0")</f>
        <v/>
      </c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4">
        <f>SUMIFS(BW116:CD116,BW116:CD116,"&gt;=0")</f>
        <v/>
      </c>
      <c r="CF116" s="14">
        <f>BV116+CE116</f>
        <v/>
      </c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</row>
    <row r="117" ht="15" customHeight="1">
      <c r="A117" s="12" t="n"/>
      <c r="B117" s="12" t="n"/>
      <c r="C117" s="13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4">
        <f>SUMIFS(BK117:BT117,BK117:BT117,"&gt;=0")</f>
        <v/>
      </c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4">
        <f>SUMIFS(BW117:CD117,BW117:CD117,"&gt;=0")</f>
        <v/>
      </c>
      <c r="CF117" s="14">
        <f>BV117+CE117</f>
        <v/>
      </c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</row>
    <row r="118" ht="15" customHeight="1">
      <c r="A118" s="12" t="n"/>
      <c r="B118" s="12" t="n"/>
      <c r="C118" s="13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4">
        <f>SUMIFS(BK118:BT118,BK118:BT118,"&gt;=0")</f>
        <v/>
      </c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4">
        <f>SUMIFS(BW118:CD118,BW118:CD118,"&gt;=0")</f>
        <v/>
      </c>
      <c r="CF118" s="14">
        <f>BV118+CE118</f>
        <v/>
      </c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</row>
    <row r="119" ht="15" customHeight="1">
      <c r="A119" s="12" t="n"/>
      <c r="B119" s="12" t="n"/>
      <c r="C119" s="13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4">
        <f>SUMIFS(BK119:BT119,BK119:BT119,"&gt;=0")</f>
        <v/>
      </c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4">
        <f>SUMIFS(BW119:CD119,BW119:CD119,"&gt;=0")</f>
        <v/>
      </c>
      <c r="CF119" s="14">
        <f>BV119+CE119</f>
        <v/>
      </c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</row>
    <row r="120" ht="15" customHeight="1">
      <c r="A120" s="12" t="n"/>
      <c r="B120" s="12" t="n"/>
      <c r="C120" s="13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4">
        <f>SUMIFS(BK120:BT120,BK120:BT120,"&gt;=0")</f>
        <v/>
      </c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4">
        <f>SUMIFS(BW120:CD120,BW120:CD120,"&gt;=0")</f>
        <v/>
      </c>
      <c r="CF120" s="14">
        <f>BV120+CE120</f>
        <v/>
      </c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</row>
    <row r="121" ht="15" customHeight="1">
      <c r="A121" s="12" t="n"/>
      <c r="B121" s="12" t="n"/>
      <c r="C121" s="13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4">
        <f>SUMIFS(BK121:BT121,BK121:BT121,"&gt;=0")</f>
        <v/>
      </c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4">
        <f>SUMIFS(BW121:CD121,BW121:CD121,"&gt;=0")</f>
        <v/>
      </c>
      <c r="CF121" s="14">
        <f>BV121+CE121</f>
        <v/>
      </c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</row>
    <row r="122" ht="15" customHeight="1">
      <c r="A122" s="12" t="n"/>
      <c r="B122" s="12" t="n"/>
      <c r="C122" s="13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4">
        <f>SUMIFS(BK122:BT122,BK122:BT122,"&gt;=0")</f>
        <v/>
      </c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4">
        <f>SUMIFS(BW122:CD122,BW122:CD122,"&gt;=0")</f>
        <v/>
      </c>
      <c r="CF122" s="14">
        <f>BV122+CE122</f>
        <v/>
      </c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</row>
    <row r="123" ht="15" customHeight="1">
      <c r="A123" s="12" t="n"/>
      <c r="B123" s="12" t="n"/>
      <c r="C123" s="13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4">
        <f>SUMIFS(BK123:BT123,BK123:BT123,"&gt;=0")</f>
        <v/>
      </c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4">
        <f>SUMIFS(BW123:CD123,BW123:CD123,"&gt;=0")</f>
        <v/>
      </c>
      <c r="CF123" s="14">
        <f>BV123+CE123</f>
        <v/>
      </c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</row>
    <row r="124" ht="15" customHeight="1">
      <c r="A124" s="12" t="n"/>
      <c r="B124" s="12" t="n"/>
      <c r="C124" s="13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4">
        <f>SUMIFS(BK124:BT124,BK124:BT124,"&gt;=0")</f>
        <v/>
      </c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4">
        <f>SUMIFS(BW124:CD124,BW124:CD124,"&gt;=0")</f>
        <v/>
      </c>
      <c r="CF124" s="14">
        <f>BV124+CE124</f>
        <v/>
      </c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</row>
    <row r="125" ht="15" customHeight="1">
      <c r="A125" s="12" t="n"/>
      <c r="B125" s="12" t="n"/>
      <c r="C125" s="13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4">
        <f>SUMIFS(BK125:BT125,BK125:BT125,"&gt;=0")</f>
        <v/>
      </c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4">
        <f>SUMIFS(BW125:CD125,BW125:CD125,"&gt;=0")</f>
        <v/>
      </c>
      <c r="CF125" s="14">
        <f>BV125+CE125</f>
        <v/>
      </c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</row>
    <row r="126" ht="15" customHeight="1">
      <c r="A126" s="12" t="n"/>
      <c r="B126" s="12" t="n"/>
      <c r="C126" s="13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4">
        <f>SUMIFS(BK126:BT126,BK126:BT126,"&gt;=0")</f>
        <v/>
      </c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4">
        <f>SUMIFS(BW126:CD126,BW126:CD126,"&gt;=0")</f>
        <v/>
      </c>
      <c r="CF126" s="14">
        <f>BV126+CE126</f>
        <v/>
      </c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</row>
    <row r="127" ht="15" customHeight="1">
      <c r="A127" s="12" t="n"/>
      <c r="B127" s="12" t="n"/>
      <c r="C127" s="13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4">
        <f>SUMIFS(BK127:BT127,BK127:BT127,"&gt;=0")</f>
        <v/>
      </c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4">
        <f>SUMIFS(BW127:CD127,BW127:CD127,"&gt;=0")</f>
        <v/>
      </c>
      <c r="CF127" s="14">
        <f>BV127+CE127</f>
        <v/>
      </c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</row>
    <row r="128" ht="15" customHeight="1">
      <c r="A128" s="12" t="n"/>
      <c r="B128" s="12" t="n"/>
      <c r="C128" s="13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4">
        <f>SUMIFS(BK128:BT128,BK128:BT128,"&gt;=0")</f>
        <v/>
      </c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4">
        <f>SUMIFS(BW128:CD128,BW128:CD128,"&gt;=0")</f>
        <v/>
      </c>
      <c r="CF128" s="14">
        <f>BV128+CE128</f>
        <v/>
      </c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</row>
    <row r="129" ht="15" customHeight="1">
      <c r="A129" s="12" t="n"/>
      <c r="B129" s="12" t="n"/>
      <c r="C129" s="13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4">
        <f>SUMIFS(BK129:BT129,BK129:BT129,"&gt;=0")</f>
        <v/>
      </c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4">
        <f>SUMIFS(BW129:CD129,BW129:CD129,"&gt;=0")</f>
        <v/>
      </c>
      <c r="CF129" s="14">
        <f>BV129+CE129</f>
        <v/>
      </c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</row>
    <row r="130" ht="15" customHeight="1">
      <c r="A130" s="12" t="n"/>
      <c r="B130" s="12" t="n"/>
      <c r="C130" s="13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4">
        <f>SUMIFS(BK130:BT130,BK130:BT130,"&gt;=0")</f>
        <v/>
      </c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4">
        <f>SUMIFS(BW130:CD130,BW130:CD130,"&gt;=0")</f>
        <v/>
      </c>
      <c r="CF130" s="14">
        <f>BV130+CE130</f>
        <v/>
      </c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</row>
    <row r="131" ht="15" customHeight="1">
      <c r="A131" s="12" t="n"/>
      <c r="B131" s="12" t="n"/>
      <c r="C131" s="13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4">
        <f>SUMIFS(BK131:BT131,BK131:BT131,"&gt;=0")</f>
        <v/>
      </c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4">
        <f>SUMIFS(BW131:CD131,BW131:CD131,"&gt;=0")</f>
        <v/>
      </c>
      <c r="CF131" s="14">
        <f>BV131+CE131</f>
        <v/>
      </c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</row>
    <row r="132" ht="15" customHeight="1">
      <c r="A132" s="12" t="n"/>
      <c r="B132" s="12" t="n"/>
      <c r="C132" s="13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4">
        <f>SUMIFS(BK132:BT132,BK132:BT132,"&gt;=0")</f>
        <v/>
      </c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4">
        <f>SUMIFS(BW132:CD132,BW132:CD132,"&gt;=0")</f>
        <v/>
      </c>
      <c r="CF132" s="14">
        <f>BV132+CE132</f>
        <v/>
      </c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</row>
    <row r="133" ht="15" customHeight="1">
      <c r="A133" s="12" t="n"/>
      <c r="B133" s="12" t="n"/>
      <c r="C133" s="13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4">
        <f>SUMIFS(BK133:BT133,BK133:BT133,"&gt;=0")</f>
        <v/>
      </c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4">
        <f>SUMIFS(BW133:CD133,BW133:CD133,"&gt;=0")</f>
        <v/>
      </c>
      <c r="CF133" s="14">
        <f>BV133+CE133</f>
        <v/>
      </c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</row>
    <row r="134" ht="15" customHeight="1">
      <c r="A134" s="12" t="n"/>
      <c r="B134" s="12" t="n"/>
      <c r="C134" s="13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4">
        <f>SUMIFS(BK134:BT134,BK134:BT134,"&gt;=0")</f>
        <v/>
      </c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4">
        <f>SUMIFS(BW134:CD134,BW134:CD134,"&gt;=0")</f>
        <v/>
      </c>
      <c r="CF134" s="14">
        <f>BV134+CE134</f>
        <v/>
      </c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</row>
    <row r="135" ht="15" customHeight="1">
      <c r="A135" s="12" t="n"/>
      <c r="B135" s="12" t="n"/>
      <c r="C135" s="13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4">
        <f>SUMIFS(BK135:BT135,BK135:BT135,"&gt;=0")</f>
        <v/>
      </c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4">
        <f>SUMIFS(BW135:CD135,BW135:CD135,"&gt;=0")</f>
        <v/>
      </c>
      <c r="CF135" s="14">
        <f>BV135+CE135</f>
        <v/>
      </c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</row>
    <row r="136" ht="15" customHeight="1">
      <c r="A136" s="12" t="n"/>
      <c r="B136" s="12" t="n"/>
      <c r="C136" s="13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4">
        <f>SUMIFS(BK136:BT136,BK136:BT136,"&gt;=0")</f>
        <v/>
      </c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4">
        <f>SUMIFS(BW136:CD136,BW136:CD136,"&gt;=0")</f>
        <v/>
      </c>
      <c r="CF136" s="14">
        <f>BV136+CE136</f>
        <v/>
      </c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</row>
    <row r="137" ht="15" customHeight="1">
      <c r="A137" s="12" t="n"/>
      <c r="B137" s="12" t="n"/>
      <c r="C137" s="13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4">
        <f>SUMIFS(BK137:BT137,BK137:BT137,"&gt;=0")</f>
        <v/>
      </c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4">
        <f>SUMIFS(BW137:CD137,BW137:CD137,"&gt;=0")</f>
        <v/>
      </c>
      <c r="CF137" s="14">
        <f>BV137+CE137</f>
        <v/>
      </c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</row>
    <row r="138" ht="15" customHeight="1">
      <c r="A138" s="12" t="n"/>
      <c r="B138" s="12" t="n"/>
      <c r="C138" s="13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4">
        <f>SUMIFS(BK138:BT138,BK138:BT138,"&gt;=0")</f>
        <v/>
      </c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4">
        <f>SUMIFS(BW138:CD138,BW138:CD138,"&gt;=0")</f>
        <v/>
      </c>
      <c r="CF138" s="14">
        <f>BV138+CE138</f>
        <v/>
      </c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</row>
    <row r="139" ht="15" customHeight="1">
      <c r="A139" s="12" t="n"/>
      <c r="B139" s="12" t="n"/>
      <c r="C139" s="13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4">
        <f>SUMIFS(BK139:BT139,BK139:BT139,"&gt;=0")</f>
        <v/>
      </c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4">
        <f>SUMIFS(BW139:CD139,BW139:CD139,"&gt;=0")</f>
        <v/>
      </c>
      <c r="CF139" s="14">
        <f>BV139+CE139</f>
        <v/>
      </c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</row>
    <row r="140" ht="15" customHeight="1">
      <c r="A140" s="12" t="n"/>
      <c r="B140" s="12" t="n"/>
      <c r="C140" s="13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4">
        <f>SUMIFS(BK140:BT140,BK140:BT140,"&gt;=0")</f>
        <v/>
      </c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4">
        <f>SUMIFS(BW140:CD140,BW140:CD140,"&gt;=0")</f>
        <v/>
      </c>
      <c r="CF140" s="14">
        <f>BV140+CE140</f>
        <v/>
      </c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</row>
    <row r="141" ht="15" customHeight="1">
      <c r="A141" s="12" t="n"/>
      <c r="B141" s="12" t="n"/>
      <c r="C141" s="13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4">
        <f>SUMIFS(BK141:BT141,BK141:BT141,"&gt;=0")</f>
        <v/>
      </c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4">
        <f>SUMIFS(BW141:CD141,BW141:CD141,"&gt;=0")</f>
        <v/>
      </c>
      <c r="CF141" s="14">
        <f>BV141+CE141</f>
        <v/>
      </c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</row>
    <row r="142" ht="15" customHeight="1">
      <c r="A142" s="12" t="n"/>
      <c r="B142" s="12" t="n"/>
      <c r="C142" s="13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4">
        <f>SUMIFS(BK142:BT142,BK142:BT142,"&gt;=0")</f>
        <v/>
      </c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4">
        <f>SUMIFS(BW142:CD142,BW142:CD142,"&gt;=0")</f>
        <v/>
      </c>
      <c r="CF142" s="14">
        <f>BV142+CE142</f>
        <v/>
      </c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</row>
    <row r="143" ht="15" customHeight="1">
      <c r="A143" s="12" t="n"/>
      <c r="B143" s="12" t="n"/>
      <c r="C143" s="13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4">
        <f>SUMIFS(BK143:BT143,BK143:BT143,"&gt;=0")</f>
        <v/>
      </c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4">
        <f>SUMIFS(BW143:CD143,BW143:CD143,"&gt;=0")</f>
        <v/>
      </c>
      <c r="CF143" s="14">
        <f>BV143+CE143</f>
        <v/>
      </c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</row>
    <row r="144" ht="15" customHeight="1">
      <c r="A144" s="12" t="n"/>
      <c r="B144" s="12" t="n"/>
      <c r="C144" s="13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4">
        <f>SUMIFS(BK144:BT144,BK144:BT144,"&gt;=0")</f>
        <v/>
      </c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4">
        <f>SUMIFS(BW144:CD144,BW144:CD144,"&gt;=0")</f>
        <v/>
      </c>
      <c r="CF144" s="14">
        <f>BV144+CE144</f>
        <v/>
      </c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</row>
    <row r="145" ht="15" customHeight="1">
      <c r="A145" s="12" t="n"/>
      <c r="B145" s="12" t="n"/>
      <c r="C145" s="13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4">
        <f>SUMIFS(BK145:BT145,BK145:BT145,"&gt;=0")</f>
        <v/>
      </c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4">
        <f>SUMIFS(BW145:CD145,BW145:CD145,"&gt;=0")</f>
        <v/>
      </c>
      <c r="CF145" s="14">
        <f>BV145+CE145</f>
        <v/>
      </c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</row>
    <row r="146" ht="15" customHeight="1">
      <c r="A146" s="12" t="n"/>
      <c r="B146" s="12" t="n"/>
      <c r="C146" s="13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4">
        <f>SUMIFS(BK146:BT146,BK146:BT146,"&gt;=0")</f>
        <v/>
      </c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4">
        <f>SUMIFS(BW146:CD146,BW146:CD146,"&gt;=0")</f>
        <v/>
      </c>
      <c r="CF146" s="14">
        <f>BV146+CE146</f>
        <v/>
      </c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</row>
    <row r="147" ht="15" customHeight="1">
      <c r="A147" s="12" t="n"/>
      <c r="B147" s="12" t="n"/>
      <c r="C147" s="13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4">
        <f>SUMIFS(BK147:BT147,BK147:BT147,"&gt;=0")</f>
        <v/>
      </c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4">
        <f>SUMIFS(BW147:CD147,BW147:CD147,"&gt;=0")</f>
        <v/>
      </c>
      <c r="CF147" s="14">
        <f>BV147+CE147</f>
        <v/>
      </c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</row>
    <row r="148" ht="15" customHeight="1">
      <c r="A148" s="12" t="n"/>
      <c r="B148" s="12" t="n"/>
      <c r="C148" s="13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4">
        <f>SUMIFS(BK148:BT148,BK148:BT148,"&gt;=0")</f>
        <v/>
      </c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4">
        <f>SUMIFS(BW148:CD148,BW148:CD148,"&gt;=0")</f>
        <v/>
      </c>
      <c r="CF148" s="14">
        <f>BV148+CE148</f>
        <v/>
      </c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</row>
    <row r="149" ht="15" customHeight="1">
      <c r="A149" s="12" t="n"/>
      <c r="B149" s="12" t="n"/>
      <c r="C149" s="13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4">
        <f>SUMIFS(BK149:BT149,BK149:BT149,"&gt;=0")</f>
        <v/>
      </c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4">
        <f>SUMIFS(BW149:CD149,BW149:CD149,"&gt;=0")</f>
        <v/>
      </c>
      <c r="CF149" s="14">
        <f>BV149+CE149</f>
        <v/>
      </c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</row>
    <row r="150" ht="15" customHeight="1">
      <c r="A150" s="12" t="n"/>
      <c r="B150" s="12" t="n"/>
      <c r="C150" s="13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4">
        <f>SUMIFS(BK150:BT150,BK150:BT150,"&gt;=0")</f>
        <v/>
      </c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4">
        <f>SUMIFS(BW150:CD150,BW150:CD150,"&gt;=0")</f>
        <v/>
      </c>
      <c r="CF150" s="14">
        <f>BV150+CE150</f>
        <v/>
      </c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</row>
    <row r="151" ht="15" customHeight="1">
      <c r="A151" s="12" t="n"/>
      <c r="B151" s="12" t="n"/>
      <c r="C151" s="13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4">
        <f>SUMIFS(BK151:BT151,BK151:BT151,"&gt;=0")</f>
        <v/>
      </c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4">
        <f>SUMIFS(BW151:CD151,BW151:CD151,"&gt;=0")</f>
        <v/>
      </c>
      <c r="CF151" s="14">
        <f>BV151+CE151</f>
        <v/>
      </c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</row>
    <row r="152" ht="15" customHeight="1">
      <c r="A152" s="12" t="n"/>
      <c r="B152" s="12" t="n"/>
      <c r="C152" s="13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4">
        <f>SUMIFS(BK152:BT152,BK152:BT152,"&gt;=0")</f>
        <v/>
      </c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4">
        <f>SUMIFS(BW152:CD152,BW152:CD152,"&gt;=0")</f>
        <v/>
      </c>
      <c r="CF152" s="14">
        <f>BV152+CE152</f>
        <v/>
      </c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</row>
    <row r="153" ht="15" customHeight="1">
      <c r="A153" s="12" t="n"/>
      <c r="B153" s="12" t="n"/>
      <c r="C153" s="13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4">
        <f>SUMIFS(BK153:BT153,BK153:BT153,"&gt;=0")</f>
        <v/>
      </c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4">
        <f>SUMIFS(BW153:CD153,BW153:CD153,"&gt;=0")</f>
        <v/>
      </c>
      <c r="CF153" s="14">
        <f>BV153+CE153</f>
        <v/>
      </c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</row>
    <row r="154" ht="15" customHeight="1">
      <c r="A154" s="12" t="n"/>
      <c r="B154" s="12" t="n"/>
      <c r="C154" s="13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4">
        <f>SUMIFS(BK154:BT154,BK154:BT154,"&gt;=0")</f>
        <v/>
      </c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4">
        <f>SUMIFS(BW154:CD154,BW154:CD154,"&gt;=0")</f>
        <v/>
      </c>
      <c r="CF154" s="14">
        <f>BV154+CE154</f>
        <v/>
      </c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</row>
    <row r="155" ht="15" customHeight="1">
      <c r="A155" s="12" t="n"/>
      <c r="B155" s="12" t="n"/>
      <c r="C155" s="13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4">
        <f>SUMIFS(BK155:BT155,BK155:BT155,"&gt;=0")</f>
        <v/>
      </c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4">
        <f>SUMIFS(BW155:CD155,BW155:CD155,"&gt;=0")</f>
        <v/>
      </c>
      <c r="CF155" s="14">
        <f>BV155+CE155</f>
        <v/>
      </c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</row>
    <row r="156" ht="15" customHeight="1">
      <c r="A156" s="12" t="n"/>
      <c r="B156" s="12" t="n"/>
      <c r="C156" s="13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4">
        <f>SUMIFS(BK156:BT156,BK156:BT156,"&gt;=0")</f>
        <v/>
      </c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4">
        <f>SUMIFS(BW156:CD156,BW156:CD156,"&gt;=0")</f>
        <v/>
      </c>
      <c r="CF156" s="14">
        <f>BV156+CE156</f>
        <v/>
      </c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</row>
    <row r="157" ht="15" customHeight="1">
      <c r="A157" s="12" t="n"/>
      <c r="B157" s="12" t="n"/>
      <c r="C157" s="13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4">
        <f>SUMIFS(BK157:BT157,BK157:BT157,"&gt;=0")</f>
        <v/>
      </c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4">
        <f>SUMIFS(BW157:CD157,BW157:CD157,"&gt;=0")</f>
        <v/>
      </c>
      <c r="CF157" s="14">
        <f>BV157+CE157</f>
        <v/>
      </c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</row>
    <row r="158" ht="15" customHeight="1">
      <c r="A158" s="12" t="n"/>
      <c r="B158" s="12" t="n"/>
      <c r="C158" s="13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4">
        <f>SUMIFS(BK158:BT158,BK158:BT158,"&gt;=0")</f>
        <v/>
      </c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4">
        <f>SUMIFS(BW158:CD158,BW158:CD158,"&gt;=0")</f>
        <v/>
      </c>
      <c r="CF158" s="14">
        <f>BV158+CE158</f>
        <v/>
      </c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</row>
    <row r="159" ht="15" customHeight="1">
      <c r="A159" s="12" t="n"/>
      <c r="B159" s="12" t="n"/>
      <c r="C159" s="13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4">
        <f>SUMIFS(BK159:BT159,BK159:BT159,"&gt;=0")</f>
        <v/>
      </c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4">
        <f>SUMIFS(BW159:CD159,BW159:CD159,"&gt;=0")</f>
        <v/>
      </c>
      <c r="CF159" s="14">
        <f>BV159+CE159</f>
        <v/>
      </c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</row>
    <row r="160" ht="15" customHeight="1">
      <c r="A160" s="12" t="n"/>
      <c r="B160" s="12" t="n"/>
      <c r="C160" s="13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4">
        <f>SUMIFS(BK160:BT160,BK160:BT160,"&gt;=0")</f>
        <v/>
      </c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4">
        <f>SUMIFS(BW160:CD160,BW160:CD160,"&gt;=0")</f>
        <v/>
      </c>
      <c r="CF160" s="14">
        <f>BV160+CE160</f>
        <v/>
      </c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</row>
    <row r="161" ht="15" customHeight="1">
      <c r="A161" s="12" t="n"/>
      <c r="B161" s="12" t="n"/>
      <c r="C161" s="13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4">
        <f>SUMIFS(BK161:BT161,BK161:BT161,"&gt;=0")</f>
        <v/>
      </c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4">
        <f>SUMIFS(BW161:CD161,BW161:CD161,"&gt;=0")</f>
        <v/>
      </c>
      <c r="CF161" s="14">
        <f>BV161+CE161</f>
        <v/>
      </c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</row>
    <row r="162" ht="15" customHeight="1">
      <c r="A162" s="12" t="n"/>
      <c r="B162" s="12" t="n"/>
      <c r="C162" s="13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4">
        <f>SUMIFS(BK162:BT162,BK162:BT162,"&gt;=0")</f>
        <v/>
      </c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4">
        <f>SUMIFS(BW162:CD162,BW162:CD162,"&gt;=0")</f>
        <v/>
      </c>
      <c r="CF162" s="14">
        <f>BV162+CE162</f>
        <v/>
      </c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</row>
    <row r="163" ht="15" customHeight="1">
      <c r="A163" s="12" t="n"/>
      <c r="B163" s="12" t="n"/>
      <c r="C163" s="13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4">
        <f>SUMIFS(BK163:BT163,BK163:BT163,"&gt;=0")</f>
        <v/>
      </c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4">
        <f>SUMIFS(BW163:CD163,BW163:CD163,"&gt;=0")</f>
        <v/>
      </c>
      <c r="CF163" s="14">
        <f>BV163+CE163</f>
        <v/>
      </c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</row>
    <row r="164" ht="15" customHeight="1">
      <c r="A164" s="12" t="n"/>
      <c r="B164" s="12" t="n"/>
      <c r="C164" s="13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4">
        <f>SUMIFS(BK164:BT164,BK164:BT164,"&gt;=0")</f>
        <v/>
      </c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4">
        <f>SUMIFS(BW164:CD164,BW164:CD164,"&gt;=0")</f>
        <v/>
      </c>
      <c r="CF164" s="14">
        <f>BV164+CE164</f>
        <v/>
      </c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</row>
    <row r="165" ht="15" customHeight="1">
      <c r="A165" s="12" t="n"/>
      <c r="B165" s="12" t="n"/>
      <c r="C165" s="13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4">
        <f>SUMIFS(BK165:BT165,BK165:BT165,"&gt;=0")</f>
        <v/>
      </c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4">
        <f>SUMIFS(BW165:CD165,BW165:CD165,"&gt;=0")</f>
        <v/>
      </c>
      <c r="CF165" s="14">
        <f>BV165+CE165</f>
        <v/>
      </c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</row>
    <row r="166" ht="15" customHeight="1">
      <c r="A166" s="12" t="n"/>
      <c r="B166" s="12" t="n"/>
      <c r="C166" s="13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4">
        <f>SUMIFS(BK166:BT166,BK166:BT166,"&gt;=0")</f>
        <v/>
      </c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4">
        <f>SUMIFS(BW166:CD166,BW166:CD166,"&gt;=0")</f>
        <v/>
      </c>
      <c r="CF166" s="14">
        <f>BV166+CE166</f>
        <v/>
      </c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</row>
    <row r="167" ht="15" customHeight="1">
      <c r="A167" s="12" t="n"/>
      <c r="B167" s="12" t="n"/>
      <c r="C167" s="13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4">
        <f>SUMIFS(BK167:BT167,BK167:BT167,"&gt;=0")</f>
        <v/>
      </c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4">
        <f>SUMIFS(BW167:CD167,BW167:CD167,"&gt;=0")</f>
        <v/>
      </c>
      <c r="CF167" s="14">
        <f>BV167+CE167</f>
        <v/>
      </c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</row>
    <row r="168" ht="15" customHeight="1">
      <c r="A168" s="12" t="n"/>
      <c r="B168" s="12" t="n"/>
      <c r="C168" s="13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4">
        <f>SUMIFS(BK168:BT168,BK168:BT168,"&gt;=0")</f>
        <v/>
      </c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4">
        <f>SUMIFS(BW168:CD168,BW168:CD168,"&gt;=0")</f>
        <v/>
      </c>
      <c r="CF168" s="14">
        <f>BV168+CE168</f>
        <v/>
      </c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</row>
    <row r="169" ht="15" customHeight="1">
      <c r="A169" s="12" t="n"/>
      <c r="B169" s="12" t="n"/>
      <c r="C169" s="13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4">
        <f>SUMIFS(BK169:BT169,BK169:BT169,"&gt;=0")</f>
        <v/>
      </c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4">
        <f>SUMIFS(BW169:CD169,BW169:CD169,"&gt;=0")</f>
        <v/>
      </c>
      <c r="CF169" s="14">
        <f>BV169+CE169</f>
        <v/>
      </c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</row>
    <row r="170" ht="15" customHeight="1">
      <c r="A170" s="12" t="n"/>
      <c r="B170" s="12" t="n"/>
      <c r="C170" s="13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4">
        <f>SUMIFS(BK170:BT170,BK170:BT170,"&gt;=0")</f>
        <v/>
      </c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4">
        <f>SUMIFS(BW170:CD170,BW170:CD170,"&gt;=0")</f>
        <v/>
      </c>
      <c r="CF170" s="14">
        <f>BV170+CE170</f>
        <v/>
      </c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</row>
    <row r="171" ht="15" customHeight="1">
      <c r="A171" s="12" t="n"/>
      <c r="B171" s="12" t="n"/>
      <c r="C171" s="13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4">
        <f>SUMIFS(BK171:BT171,BK171:BT171,"&gt;=0")</f>
        <v/>
      </c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4">
        <f>SUMIFS(BW171:CD171,BW171:CD171,"&gt;=0")</f>
        <v/>
      </c>
      <c r="CF171" s="14">
        <f>BV171+CE171</f>
        <v/>
      </c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</row>
    <row r="172" ht="15" customHeight="1">
      <c r="A172" s="12" t="n"/>
      <c r="B172" s="12" t="n"/>
      <c r="C172" s="13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4">
        <f>SUMIFS(BK172:BT172,BK172:BT172,"&gt;=0")</f>
        <v/>
      </c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4">
        <f>SUMIFS(BW172:CD172,BW172:CD172,"&gt;=0")</f>
        <v/>
      </c>
      <c r="CF172" s="14">
        <f>BV172+CE172</f>
        <v/>
      </c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</row>
    <row r="173" ht="15" customHeight="1">
      <c r="A173" s="12" t="n"/>
      <c r="B173" s="12" t="n"/>
      <c r="C173" s="13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4">
        <f>SUMIFS(BK173:BT173,BK173:BT173,"&gt;=0")</f>
        <v/>
      </c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4">
        <f>SUMIFS(BW173:CD173,BW173:CD173,"&gt;=0")</f>
        <v/>
      </c>
      <c r="CF173" s="14">
        <f>BV173+CE173</f>
        <v/>
      </c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</row>
    <row r="174" ht="15" customHeight="1">
      <c r="A174" s="12" t="n"/>
      <c r="B174" s="12" t="n"/>
      <c r="C174" s="13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4">
        <f>SUMIFS(BK174:BT174,BK174:BT174,"&gt;=0")</f>
        <v/>
      </c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4">
        <f>SUMIFS(BW174:CD174,BW174:CD174,"&gt;=0")</f>
        <v/>
      </c>
      <c r="CF174" s="14">
        <f>BV174+CE174</f>
        <v/>
      </c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</row>
    <row r="175" ht="15" customHeight="1">
      <c r="A175" s="12" t="n"/>
      <c r="B175" s="12" t="n"/>
      <c r="C175" s="13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4">
        <f>SUMIFS(BK175:BT175,BK175:BT175,"&gt;=0")</f>
        <v/>
      </c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4">
        <f>SUMIFS(BW175:CD175,BW175:CD175,"&gt;=0")</f>
        <v/>
      </c>
      <c r="CF175" s="14">
        <f>BV175+CE175</f>
        <v/>
      </c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</row>
    <row r="176" ht="15" customHeight="1">
      <c r="A176" s="12" t="n"/>
      <c r="B176" s="12" t="n"/>
      <c r="C176" s="13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4">
        <f>SUMIFS(BK176:BT176,BK176:BT176,"&gt;=0")</f>
        <v/>
      </c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4">
        <f>SUMIFS(BW176:CD176,BW176:CD176,"&gt;=0")</f>
        <v/>
      </c>
      <c r="CF176" s="14">
        <f>BV176+CE176</f>
        <v/>
      </c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</row>
    <row r="177" ht="15" customHeight="1">
      <c r="A177" s="12" t="n"/>
      <c r="B177" s="12" t="n"/>
      <c r="C177" s="13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4">
        <f>SUMIFS(BK177:BT177,BK177:BT177,"&gt;=0")</f>
        <v/>
      </c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4">
        <f>SUMIFS(BW177:CD177,BW177:CD177,"&gt;=0")</f>
        <v/>
      </c>
      <c r="CF177" s="14">
        <f>BV177+CE177</f>
        <v/>
      </c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</row>
    <row r="178" ht="15" customHeight="1">
      <c r="A178" s="12" t="n"/>
      <c r="B178" s="12" t="n"/>
      <c r="C178" s="13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4">
        <f>SUMIFS(BK178:BT178,BK178:BT178,"&gt;=0")</f>
        <v/>
      </c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4">
        <f>SUMIFS(BW178:CD178,BW178:CD178,"&gt;=0")</f>
        <v/>
      </c>
      <c r="CF178" s="14">
        <f>BV178+CE178</f>
        <v/>
      </c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</row>
    <row r="179" ht="15" customHeight="1">
      <c r="A179" s="12" t="n"/>
      <c r="B179" s="12" t="n"/>
      <c r="C179" s="13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4">
        <f>SUMIFS(BK179:BT179,BK179:BT179,"&gt;=0")</f>
        <v/>
      </c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4">
        <f>SUMIFS(BW179:CD179,BW179:CD179,"&gt;=0")</f>
        <v/>
      </c>
      <c r="CF179" s="14">
        <f>BV179+CE179</f>
        <v/>
      </c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</row>
    <row r="180" ht="15" customHeight="1">
      <c r="A180" s="12" t="n"/>
      <c r="B180" s="12" t="n"/>
      <c r="C180" s="13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4">
        <f>SUMIFS(BK180:BT180,BK180:BT180,"&gt;=0")</f>
        <v/>
      </c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4">
        <f>SUMIFS(BW180:CD180,BW180:CD180,"&gt;=0")</f>
        <v/>
      </c>
      <c r="CF180" s="14">
        <f>BV180+CE180</f>
        <v/>
      </c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</row>
    <row r="181" ht="15" customHeight="1">
      <c r="A181" s="12" t="n"/>
      <c r="B181" s="12" t="n"/>
      <c r="C181" s="13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4">
        <f>SUMIFS(BK181:BT181,BK181:BT181,"&gt;=0")</f>
        <v/>
      </c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4">
        <f>SUMIFS(BW181:CD181,BW181:CD181,"&gt;=0")</f>
        <v/>
      </c>
      <c r="CF181" s="14">
        <f>BV181+CE181</f>
        <v/>
      </c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</row>
    <row r="182" ht="15" customHeight="1">
      <c r="A182" s="12" t="n"/>
      <c r="B182" s="12" t="n"/>
      <c r="C182" s="13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4">
        <f>SUMIFS(BK182:BT182,BK182:BT182,"&gt;=0")</f>
        <v/>
      </c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4">
        <f>SUMIFS(BW182:CD182,BW182:CD182,"&gt;=0")</f>
        <v/>
      </c>
      <c r="CF182" s="14">
        <f>BV182+CE182</f>
        <v/>
      </c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</row>
    <row r="183" ht="15" customHeight="1">
      <c r="A183" s="12" t="n"/>
      <c r="B183" s="12" t="n"/>
      <c r="C183" s="13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4">
        <f>SUMIFS(BK183:BT183,BK183:BT183,"&gt;=0")</f>
        <v/>
      </c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4">
        <f>SUMIFS(BW183:CD183,BW183:CD183,"&gt;=0")</f>
        <v/>
      </c>
      <c r="CF183" s="14">
        <f>BV183+CE183</f>
        <v/>
      </c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</row>
    <row r="184" ht="15" customHeight="1">
      <c r="A184" s="12" t="n"/>
      <c r="B184" s="12" t="n"/>
      <c r="C184" s="13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4">
        <f>SUMIFS(BK184:BT184,BK184:BT184,"&gt;=0")</f>
        <v/>
      </c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4">
        <f>SUMIFS(BW184:CD184,BW184:CD184,"&gt;=0")</f>
        <v/>
      </c>
      <c r="CF184" s="14">
        <f>BV184+CE184</f>
        <v/>
      </c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</row>
    <row r="185" ht="15" customHeight="1">
      <c r="A185" s="12" t="n"/>
      <c r="B185" s="12" t="n"/>
      <c r="C185" s="13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4">
        <f>SUMIFS(BK185:BT185,BK185:BT185,"&gt;=0")</f>
        <v/>
      </c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4">
        <f>SUMIFS(BW185:CD185,BW185:CD185,"&gt;=0")</f>
        <v/>
      </c>
      <c r="CF185" s="14">
        <f>BV185+CE185</f>
        <v/>
      </c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</row>
    <row r="186" ht="15" customHeight="1">
      <c r="A186" s="12" t="n"/>
      <c r="B186" s="12" t="n"/>
      <c r="C186" s="13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4">
        <f>SUMIFS(BK186:BT186,BK186:BT186,"&gt;=0")</f>
        <v/>
      </c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4">
        <f>SUMIFS(BW186:CD186,BW186:CD186,"&gt;=0")</f>
        <v/>
      </c>
      <c r="CF186" s="14">
        <f>BV186+CE186</f>
        <v/>
      </c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</row>
    <row r="187" ht="15" customHeight="1">
      <c r="A187" s="12" t="n"/>
      <c r="B187" s="12" t="n"/>
      <c r="C187" s="13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4">
        <f>SUMIFS(BK187:BT187,BK187:BT187,"&gt;=0")</f>
        <v/>
      </c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4">
        <f>SUMIFS(BW187:CD187,BW187:CD187,"&gt;=0")</f>
        <v/>
      </c>
      <c r="CF187" s="14">
        <f>BV187+CE187</f>
        <v/>
      </c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</row>
    <row r="188" ht="15" customHeight="1">
      <c r="A188" s="12" t="n"/>
      <c r="B188" s="12" t="n"/>
      <c r="C188" s="13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4">
        <f>SUMIFS(BK188:BT188,BK188:BT188,"&gt;=0")</f>
        <v/>
      </c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4">
        <f>SUMIFS(BW188:CD188,BW188:CD188,"&gt;=0")</f>
        <v/>
      </c>
      <c r="CF188" s="14">
        <f>BV188+CE188</f>
        <v/>
      </c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</row>
    <row r="189" ht="15" customHeight="1">
      <c r="A189" s="12" t="n"/>
      <c r="B189" s="12" t="n"/>
      <c r="C189" s="13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4">
        <f>SUMIFS(BK189:BT189,BK189:BT189,"&gt;=0")</f>
        <v/>
      </c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4">
        <f>SUMIFS(BW189:CD189,BW189:CD189,"&gt;=0")</f>
        <v/>
      </c>
      <c r="CF189" s="14">
        <f>BV189+CE189</f>
        <v/>
      </c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</row>
    <row r="190" ht="15" customHeight="1">
      <c r="A190" s="12" t="n"/>
      <c r="B190" s="12" t="n"/>
      <c r="C190" s="13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4">
        <f>SUMIFS(BK190:BT190,BK190:BT190,"&gt;=0")</f>
        <v/>
      </c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4">
        <f>SUMIFS(BW190:CD190,BW190:CD190,"&gt;=0")</f>
        <v/>
      </c>
      <c r="CF190" s="14">
        <f>BV190+CE190</f>
        <v/>
      </c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</row>
    <row r="191" ht="15" customHeight="1">
      <c r="A191" s="12" t="n"/>
      <c r="B191" s="12" t="n"/>
      <c r="C191" s="13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4">
        <f>SUMIFS(BK191:BT191,BK191:BT191,"&gt;=0")</f>
        <v/>
      </c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4">
        <f>SUMIFS(BW191:CD191,BW191:CD191,"&gt;=0")</f>
        <v/>
      </c>
      <c r="CF191" s="14">
        <f>BV191+CE191</f>
        <v/>
      </c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</row>
    <row r="192" ht="15" customHeight="1">
      <c r="A192" s="12" t="n"/>
      <c r="B192" s="12" t="n"/>
      <c r="C192" s="13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4">
        <f>SUMIFS(BK192:BT192,BK192:BT192,"&gt;=0")</f>
        <v/>
      </c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4">
        <f>SUMIFS(BW192:CD192,BW192:CD192,"&gt;=0")</f>
        <v/>
      </c>
      <c r="CF192" s="14">
        <f>BV192+CE192</f>
        <v/>
      </c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</row>
    <row r="193" ht="15" customHeight="1">
      <c r="A193" s="12" t="n"/>
      <c r="B193" s="12" t="n"/>
      <c r="C193" s="13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4">
        <f>SUMIFS(BK193:BT193,BK193:BT193,"&gt;=0")</f>
        <v/>
      </c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4">
        <f>SUMIFS(BW193:CD193,BW193:CD193,"&gt;=0")</f>
        <v/>
      </c>
      <c r="CF193" s="14">
        <f>BV193+CE193</f>
        <v/>
      </c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</row>
    <row r="194" ht="15" customHeight="1">
      <c r="A194" s="12" t="n"/>
      <c r="B194" s="12" t="n"/>
      <c r="C194" s="13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4">
        <f>SUMIFS(BK194:BT194,BK194:BT194,"&gt;=0")</f>
        <v/>
      </c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4">
        <f>SUMIFS(BW194:CD194,BW194:CD194,"&gt;=0")</f>
        <v/>
      </c>
      <c r="CF194" s="14">
        <f>BV194+CE194</f>
        <v/>
      </c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</row>
    <row r="195" ht="15" customHeight="1">
      <c r="A195" s="12" t="n"/>
      <c r="B195" s="12" t="n"/>
      <c r="C195" s="13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4">
        <f>SUMIFS(BK195:BT195,BK195:BT195,"&gt;=0")</f>
        <v/>
      </c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4">
        <f>SUMIFS(BW195:CD195,BW195:CD195,"&gt;=0")</f>
        <v/>
      </c>
      <c r="CF195" s="14">
        <f>BV195+CE195</f>
        <v/>
      </c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</row>
    <row r="196" ht="15" customHeight="1">
      <c r="A196" s="12" t="n"/>
      <c r="B196" s="12" t="n"/>
      <c r="C196" s="13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4">
        <f>SUMIFS(BK196:BT196,BK196:BT196,"&gt;=0")</f>
        <v/>
      </c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4">
        <f>SUMIFS(BW196:CD196,BW196:CD196,"&gt;=0")</f>
        <v/>
      </c>
      <c r="CF196" s="14">
        <f>BV196+CE196</f>
        <v/>
      </c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</row>
    <row r="197" ht="15" customHeight="1">
      <c r="A197" s="12" t="n"/>
      <c r="B197" s="12" t="n"/>
      <c r="C197" s="13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4">
        <f>SUMIFS(BK197:BT197,BK197:BT197,"&gt;=0")</f>
        <v/>
      </c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4">
        <f>SUMIFS(BW197:CD197,BW197:CD197,"&gt;=0")</f>
        <v/>
      </c>
      <c r="CF197" s="14">
        <f>BV197+CE197</f>
        <v/>
      </c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</row>
    <row r="198" ht="15" customHeight="1">
      <c r="A198" s="12" t="n"/>
      <c r="B198" s="12" t="n"/>
      <c r="C198" s="13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4">
        <f>SUMIFS(BK198:BT198,BK198:BT198,"&gt;=0")</f>
        <v/>
      </c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4">
        <f>SUMIFS(BW198:CD198,BW198:CD198,"&gt;=0")</f>
        <v/>
      </c>
      <c r="CF198" s="14">
        <f>BV198+CE198</f>
        <v/>
      </c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</row>
    <row r="199" ht="15" customHeight="1">
      <c r="A199" s="12" t="n"/>
      <c r="B199" s="12" t="n"/>
      <c r="C199" s="13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4">
        <f>SUMIFS(BK199:BT199,BK199:BT199,"&gt;=0")</f>
        <v/>
      </c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4">
        <f>SUMIFS(BW199:CD199,BW199:CD199,"&gt;=0")</f>
        <v/>
      </c>
      <c r="CF199" s="14">
        <f>BV199+CE199</f>
        <v/>
      </c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</row>
    <row r="200" ht="15" customHeight="1">
      <c r="A200" s="12" t="n"/>
      <c r="B200" s="12" t="n"/>
      <c r="C200" s="13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4">
        <f>SUMIFS(BK200:BT200,BK200:BT200,"&gt;=0")</f>
        <v/>
      </c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4">
        <f>SUMIFS(BW200:CD200,BW200:CD200,"&gt;=0")</f>
        <v/>
      </c>
      <c r="CF200" s="14">
        <f>BV200+CE200</f>
        <v/>
      </c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</row>
    <row r="201" ht="15" customHeight="1">
      <c r="A201" s="12" t="n"/>
      <c r="B201" s="12" t="n"/>
      <c r="C201" s="13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4">
        <f>SUMIFS(BK201:BT201,BK201:BT201,"&gt;=0")</f>
        <v/>
      </c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4">
        <f>SUMIFS(BW201:CD201,BW201:CD201,"&gt;=0")</f>
        <v/>
      </c>
      <c r="CF201" s="14">
        <f>BV201+CE201</f>
        <v/>
      </c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</row>
    <row r="202" ht="15" customHeight="1">
      <c r="A202" s="12" t="n"/>
      <c r="B202" s="12" t="n"/>
      <c r="C202" s="13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4">
        <f>SUMIFS(BK202:BT202,BK202:BT202,"&gt;=0")</f>
        <v/>
      </c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4">
        <f>SUMIFS(BW202:CD202,BW202:CD202,"&gt;=0")</f>
        <v/>
      </c>
      <c r="CF202" s="14">
        <f>BV202+CE202</f>
        <v/>
      </c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</row>
    <row r="203" ht="15" customHeight="1">
      <c r="A203" s="12" t="n"/>
      <c r="B203" s="12" t="n"/>
      <c r="C203" s="13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  <c r="BG203" s="12" t="n"/>
      <c r="BH203" s="12" t="n"/>
      <c r="BI203" s="12" t="n"/>
      <c r="BJ203" s="12" t="n"/>
      <c r="BK203" s="12" t="n"/>
      <c r="BL203" s="12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4">
        <f>SUMIFS(BK203:BT203,BK203:BT203,"&gt;=0")</f>
        <v/>
      </c>
      <c r="BW203" s="12" t="n"/>
      <c r="BX203" s="12" t="n"/>
      <c r="BY203" s="12" t="n"/>
      <c r="BZ203" s="12" t="n"/>
      <c r="CA203" s="12" t="n"/>
      <c r="CB203" s="12" t="n"/>
      <c r="CC203" s="12" t="n"/>
      <c r="CD203" s="12" t="n"/>
      <c r="CE203" s="14">
        <f>SUMIFS(BW203:CD203,BW203:CD203,"&gt;=0")</f>
        <v/>
      </c>
      <c r="CF203" s="14">
        <f>BV203+CE203</f>
        <v/>
      </c>
      <c r="CG203" s="12" t="n"/>
      <c r="CH203" s="12" t="n"/>
      <c r="CI203" s="12" t="n"/>
      <c r="CJ203" s="12" t="n"/>
      <c r="CK203" s="12" t="n"/>
      <c r="CL203" s="12" t="n"/>
      <c r="CM203" s="12" t="n"/>
      <c r="CN203" s="12" t="n"/>
      <c r="CO203" s="12" t="n"/>
      <c r="CP203" s="12" t="n"/>
      <c r="CQ203" s="12" t="n"/>
    </row>
    <row r="204" ht="15" customHeight="1">
      <c r="A204" s="12" t="n"/>
      <c r="B204" s="12" t="n"/>
      <c r="C204" s="13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4">
        <f>SUMIFS(BK204:BT204,BK204:BT204,"&gt;=0")</f>
        <v/>
      </c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4">
        <f>SUMIFS(BW204:CD204,BW204:CD204,"&gt;=0")</f>
        <v/>
      </c>
      <c r="CF204" s="14">
        <f>BV204+CE204</f>
        <v/>
      </c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</row>
  </sheetData>
  <dataValidations count="8">
    <dataValidation sqref="E5:G204" showDropDown="0" showInputMessage="0" showErrorMessage="0" allowBlank="1" errorTitle="Invalid code" error="Allowed values: 1, 2, 3, 4, -77, -99" type="list">
      <formula1>"1,2,3,4,-77,-99"</formula1>
    </dataValidation>
    <dataValidation sqref="I5:J204 L5:P204 V5:Z204 AB5:AB204 AE5:AE204 AG5:AG204 AK5:AT204 AV5:BC204 BE5:BE204 BG5:BU204 BW5:CD204 CH5:CM204 CO5:CQ204" showDropDown="0" showInputMessage="0" showErrorMessage="0" allowBlank="1" errorTitle="Invalid code" error="Allowed values: 0, 1, -77, -99" type="list">
      <formula1>"0,1,-77,-99"</formula1>
    </dataValidation>
    <dataValidation sqref="Q5:Q204" showDropDown="0" showInputMessage="0" showErrorMessage="0" allowBlank="1" errorTitle="Invalid code" error="Allowed values: 0, 1, -88, -77, -99" type="list">
      <formula1>"0,1,-88,-77,-99"</formula1>
    </dataValidation>
    <dataValidation sqref="R5:S204 U5:U204 AI5:AI204 BD5:BD204" showDropDown="0" showInputMessage="0" showErrorMessage="0" allowBlank="1" errorTitle="Invalid code" error="Allowed values: 1, 2, 3, 4, -88, -77, -99" type="list">
      <formula1>"1,2,3,4,-88,-77,-99"</formula1>
    </dataValidation>
    <dataValidation sqref="T5:T204 AC5:AD204 AF5:AF204 AH5:AH204 BF5:BF204" showDropDown="0" showInputMessage="0" showErrorMessage="0" allowBlank="1" errorTitle="Invalid code" error="Allowed values: 1, 2, 3, -88, -77, -99" type="list">
      <formula1>"1,2,3,-88,-77,-99"</formula1>
    </dataValidation>
    <dataValidation sqref="AA5:AA204 AJ5:AJ204" showDropDown="0" showInputMessage="0" showErrorMessage="0" allowBlank="1" errorTitle="Invalid code" error="Allowed values: 1, 2, 3, 4, 5, -77, -99" type="list">
      <formula1>"1,2,3,4,5,-77,-99"</formula1>
    </dataValidation>
    <dataValidation sqref="AU5:AU204" showDropDown="0" showInputMessage="0" showErrorMessage="0" allowBlank="1" errorTitle="Invalid code" error="Allowed values: 1, 2, 3, 4, 5, 6, -88, -77, -99" type="list">
      <formula1>"1,2,3,4,5,6,-88,-77,-99"</formula1>
    </dataValidation>
    <dataValidation sqref="CG5:CG204 CN5:CN204" showDropDown="0" showInputMessage="0" showErrorMessage="0" allowBlank="1" errorTitle="Invalid code" error="Allowed values: 1, 2, 3, -77, -99" type="list">
      <formula1>"1,2,3,-77,-99"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8" customWidth="1" min="2" max="2"/>
    <col width="16" customWidth="1" min="3" max="3"/>
    <col width="30" customWidth="1" min="4" max="4"/>
    <col width="10" customWidth="1" min="5" max="5"/>
    <col width="45" customWidth="1" min="6" max="6"/>
    <col width="30" customWidth="1" min="7" max="7"/>
    <col width="60" customWidth="1" min="8" max="8"/>
    <col width="40" customWidth="1" min="9" max="9"/>
  </cols>
  <sheetData>
    <row r="1" ht="16" customHeight="1">
      <c r="A1" s="15" t="inlineStr">
        <is>
          <t>Codebook ID</t>
        </is>
      </c>
      <c r="B1" s="15" t="inlineStr">
        <is>
          <t>Section</t>
        </is>
      </c>
      <c r="C1" s="15" t="inlineStr">
        <is>
          <t>Short name</t>
        </is>
      </c>
      <c r="D1" s="15" t="inlineStr">
        <is>
          <t>Label</t>
        </is>
      </c>
      <c r="E1" s="15" t="inlineStr">
        <is>
          <t>Required</t>
        </is>
      </c>
      <c r="F1" s="15" t="inlineStr">
        <is>
          <t>Question</t>
        </is>
      </c>
      <c r="G1" s="15" t="inlineStr">
        <is>
          <t>Allowed values</t>
        </is>
      </c>
      <c r="H1" s="15" t="inlineStr">
        <is>
          <t>Instructions</t>
        </is>
      </c>
      <c r="I1" s="15" t="inlineStr">
        <is>
          <t>Description</t>
        </is>
      </c>
    </row>
    <row r="2" ht="32" customHeight="1">
      <c r="A2" s="16" t="inlineStr">
        <is>
          <t>A1</t>
        </is>
      </c>
      <c r="B2" s="16" t="inlineStr">
        <is>
          <t>A</t>
        </is>
      </c>
      <c r="C2" s="16" t="inlineStr">
        <is>
          <t>pid</t>
        </is>
      </c>
      <c r="D2" s="16" t="inlineStr">
        <is>
          <t>Participant ID</t>
        </is>
      </c>
      <c r="E2" s="16" t="n">
        <v>0</v>
      </c>
      <c r="F2" s="16" t="inlineStr">
        <is>
          <t>What is the participant's ID number?</t>
        </is>
      </c>
      <c r="G2" s="16" t="inlineStr">
        <is>
          <t>Anonymized integer (any positive number)</t>
        </is>
      </c>
      <c r="H2" s="16" t="inlineStr">
        <is>
          <t>From study metadata. Do not enter manually.</t>
        </is>
      </c>
      <c r="I2" s="16" t="inlineStr">
        <is>
          <t>From study metadata</t>
        </is>
      </c>
    </row>
    <row r="3" ht="48" customHeight="1">
      <c r="A3" s="16" t="inlineStr">
        <is>
          <t>A2</t>
        </is>
      </c>
      <c r="B3" s="16" t="inlineStr">
        <is>
          <t>A</t>
        </is>
      </c>
      <c r="C3" s="16" t="inlineStr">
        <is>
          <t>crimetype</t>
        </is>
      </c>
      <c r="D3" s="16" t="inlineStr">
        <is>
          <t>Crime type</t>
        </is>
      </c>
      <c r="E3" s="16" t="n">
        <v>0</v>
      </c>
      <c r="F3" s="16" t="inlineStr">
        <is>
          <t>What crime type is the narrative about?</t>
        </is>
      </c>
      <c r="G3" s="16" t="inlineStr">
        <is>
          <t>1 = Criminal self-managed abortion; 2 = Fetal homicide; 3 = Chemical endangerment; 4 = Improper disposal</t>
        </is>
      </c>
      <c r="H3" s="16" t="inlineStr">
        <is>
          <t>From study metadata.</t>
        </is>
      </c>
      <c r="I3" s="16" t="inlineStr">
        <is>
          <t>From study metadata</t>
        </is>
      </c>
    </row>
    <row r="4" ht="48" customHeight="1">
      <c r="A4" s="16" t="inlineStr">
        <is>
          <t>A3</t>
        </is>
      </c>
      <c r="B4" s="16" t="inlineStr">
        <is>
          <t>A</t>
        </is>
      </c>
      <c r="C4" s="16" t="inlineStr">
        <is>
          <t>verdictcond</t>
        </is>
      </c>
      <c r="D4" s="16" t="inlineStr">
        <is>
          <t>Verdict condition</t>
        </is>
      </c>
      <c r="E4" s="16" t="n">
        <v>0</v>
      </c>
      <c r="F4" s="16" t="inlineStr">
        <is>
          <t>What verdict condition was the participant assigned to?</t>
        </is>
      </c>
      <c r="G4" s="16" t="inlineStr">
        <is>
          <t>1 = Rightful not guilty; 2 = Rightful guilty; 3 = Wrongful not guilty; 4 = Wrongful guilty</t>
        </is>
      </c>
      <c r="H4" s="16" t="inlineStr">
        <is>
          <t>From study metadata.</t>
        </is>
      </c>
      <c r="I4" s="16" t="inlineStr">
        <is>
          <t>From study metadata</t>
        </is>
      </c>
    </row>
    <row r="5" ht="32" customHeight="1">
      <c r="A5" s="16" t="inlineStr">
        <is>
          <t>A4</t>
        </is>
      </c>
      <c r="B5" s="16" t="inlineStr">
        <is>
          <t>A</t>
        </is>
      </c>
      <c r="C5" s="16" t="inlineStr">
        <is>
          <t>narrorder</t>
        </is>
      </c>
      <c r="D5" s="16" t="inlineStr">
        <is>
          <t>Narrative order</t>
        </is>
      </c>
      <c r="E5" s="16" t="n">
        <v>0</v>
      </c>
      <c r="F5" s="16" t="inlineStr">
        <is>
          <t>In what order did the participant write this narrative?</t>
        </is>
      </c>
      <c r="G5" s="16" t="inlineStr">
        <is>
          <t>1 = first; 2 = second; 3 = third; 4 = fourth</t>
        </is>
      </c>
      <c r="H5" s="16" t="inlineStr">
        <is>
          <t>From study metadata.</t>
        </is>
      </c>
      <c r="I5" s="16" t="inlineStr">
        <is>
          <t>Order this crime type appeared for the participant</t>
        </is>
      </c>
    </row>
    <row r="6" ht="32" customHeight="1">
      <c r="A6" s="16" t="inlineStr">
        <is>
          <t>A5</t>
        </is>
      </c>
      <c r="B6" s="16" t="inlineStr">
        <is>
          <t>A</t>
        </is>
      </c>
      <c r="C6" s="16" t="inlineStr">
        <is>
          <t>wordcount</t>
        </is>
      </c>
      <c r="D6" s="16" t="inlineStr">
        <is>
          <t>Word count</t>
        </is>
      </c>
      <c r="E6" s="16" t="n">
        <v>0</v>
      </c>
      <c r="F6" s="16" t="inlineStr">
        <is>
          <t>How many words are in the narrative?</t>
        </is>
      </c>
      <c r="G6" s="16" t="inlineStr">
        <is>
          <t>Integer count of words in the narrative</t>
        </is>
      </c>
      <c r="H6" s="16" t="inlineStr">
        <is>
          <t>From study metadata.</t>
        </is>
      </c>
      <c r="I6" s="16" t="inlineStr">
        <is>
          <t>Total word count of narrative</t>
        </is>
      </c>
    </row>
    <row r="7" ht="32" customHeight="1">
      <c r="A7" s="16" t="inlineStr">
        <is>
          <t>B1</t>
        </is>
      </c>
      <c r="B7" s="16" t="inlineStr">
        <is>
          <t>B</t>
        </is>
      </c>
      <c r="C7" s="16" t="inlineStr">
        <is>
          <t>setting</t>
        </is>
      </c>
      <c r="D7" s="16" t="inlineStr">
        <is>
          <t>Setting present</t>
        </is>
      </c>
      <c r="E7" s="16" t="n">
        <v>1</v>
      </c>
      <c r="F7" s="16" t="inlineStr">
        <is>
          <t>Does the narrative include a geographic or temporal setting?</t>
        </is>
      </c>
      <c r="G7" s="16" t="inlineStr">
        <is>
          <t>0 = no (absent); 1 = yes (present)</t>
        </is>
      </c>
      <c r="H7" s="16" t="inlineStr">
        <is>
          <t>Code 1 for any mention of location (city, state, town type) or time (time of year, decade, specific date). Code 0 if no setting is mentioned.</t>
        </is>
      </c>
      <c r="I7" s="16" t="inlineStr">
        <is>
          <t>Geographic or temporal setting present</t>
        </is>
      </c>
    </row>
    <row r="8" ht="32" customHeight="1">
      <c r="A8" s="16" t="inlineStr">
        <is>
          <t>B2</t>
        </is>
      </c>
      <c r="B8" s="16" t="inlineStr">
        <is>
          <t>B</t>
        </is>
      </c>
      <c r="C8" s="16" t="inlineStr">
        <is>
          <t>namedchars</t>
        </is>
      </c>
      <c r="D8" s="16" t="inlineStr">
        <is>
          <t>Named characters</t>
        </is>
      </c>
      <c r="E8" s="16" t="n">
        <v>1</v>
      </c>
      <c r="F8" s="16" t="inlineStr">
        <is>
          <t>Does the narrative give the defendant or other characters specific names?</t>
        </is>
      </c>
      <c r="G8" s="16" t="inlineStr">
        <is>
          <t>0 = no (absent); 1 = yes (present)</t>
        </is>
      </c>
      <c r="H8" s="16" t="inlineStr">
        <is>
          <t>Code 1 if any character is given a proper name. Code 0 if characters are referred to only as "the defendant," "a woman," "her partner," etc.</t>
        </is>
      </c>
      <c r="I8" s="16" t="inlineStr">
        <is>
          <t>Specific character names given</t>
        </is>
      </c>
    </row>
    <row r="9" ht="64" customHeight="1">
      <c r="A9" s="16" t="inlineStr">
        <is>
          <t>B3</t>
        </is>
      </c>
      <c r="B9" s="16" t="inlineStr">
        <is>
          <t>B</t>
        </is>
      </c>
      <c r="C9" s="16" t="inlineStr">
        <is>
          <t>nchars</t>
        </is>
      </c>
      <c r="D9" s="16" t="inlineStr">
        <is>
          <t>Number of characters</t>
        </is>
      </c>
      <c r="E9" s="16" t="n">
        <v>1</v>
      </c>
      <c r="F9" s="16" t="inlineStr">
        <is>
          <t>How many distinct characters are mentioned in the narrative?</t>
        </is>
      </c>
      <c r="G9" s="16" t="inlineStr">
        <is>
          <t>Integer count (defendant counts as 1)</t>
        </is>
      </c>
      <c r="H9" s="16" t="inlineStr">
        <is>
          <t>Defendant counts as 1. Count each distinct character mentioned, including co-defendants, victims, witnesses, police, healthcare providers, and family members. Unnamed crowds (e.g., "the jury," "the public") do not count individually.</t>
        </is>
      </c>
      <c r="I9" s="16" t="inlineStr">
        <is>
          <t>Distinct characters mentioned</t>
        </is>
      </c>
    </row>
    <row r="10" ht="32" customHeight="1">
      <c r="A10" s="16" t="inlineStr">
        <is>
          <t>B4</t>
        </is>
      </c>
      <c r="B10" s="16" t="inlineStr">
        <is>
          <t>B</t>
        </is>
      </c>
      <c r="C10" s="16" t="inlineStr">
        <is>
          <t>tempseq</t>
        </is>
      </c>
      <c r="D10" s="16" t="inlineStr">
        <is>
          <t>Temporal sequence</t>
        </is>
      </c>
      <c r="E10" s="16" t="n">
        <v>1</v>
      </c>
      <c r="F10" s="16" t="inlineStr">
        <is>
          <t>Does the narrative contain at least two events in chronological order?</t>
        </is>
      </c>
      <c r="G10" s="16" t="inlineStr">
        <is>
          <t>0 = no (absent); 1 = yes (present)</t>
        </is>
      </c>
      <c r="H10" s="16" t="inlineStr">
        <is>
          <t>Code 1 if the narrative presents events in a time sequence (even implicit: "before," "after," "then"). Code 0 if the narrative reads as a single static scene.</t>
        </is>
      </c>
      <c r="I10" s="16" t="inlineStr">
        <is>
          <t>Two or more events in chronological order</t>
        </is>
      </c>
    </row>
    <row r="11" ht="48" customHeight="1">
      <c r="A11" s="16" t="inlineStr">
        <is>
          <t>B5</t>
        </is>
      </c>
      <c r="B11" s="16" t="inlineStr">
        <is>
          <t>B</t>
        </is>
      </c>
      <c r="C11" s="16" t="inlineStr">
        <is>
          <t>causal</t>
        </is>
      </c>
      <c r="D11" s="16" t="inlineStr">
        <is>
          <t>Causal connections</t>
        </is>
      </c>
      <c r="E11" s="16" t="n">
        <v>1</v>
      </c>
      <c r="F11" s="16" t="inlineStr">
        <is>
          <t>Does the narrative explicitly link events through causal language?</t>
        </is>
      </c>
      <c r="G11" s="16" t="inlineStr">
        <is>
          <t>0 = no (absent); 1 = yes (present)</t>
        </is>
      </c>
      <c r="H11" s="16" t="inlineStr">
        <is>
          <t>Code 1 for any explicit causal language: "because," "as a result," "which led to," "caused," "due to." Code 0 if events are merely sequential without explicit causal links.</t>
        </is>
      </c>
      <c r="I11" s="16" t="inlineStr">
        <is>
          <t>Causal language linking events</t>
        </is>
      </c>
    </row>
    <row r="12" ht="48" customHeight="1">
      <c r="A12" s="16" t="inlineStr">
        <is>
          <t>B6</t>
        </is>
      </c>
      <c r="B12" s="16" t="inlineStr">
        <is>
          <t>B</t>
        </is>
      </c>
      <c r="C12" s="16" t="inlineStr">
        <is>
          <t>trial</t>
        </is>
      </c>
      <c r="D12" s="16" t="inlineStr">
        <is>
          <t>Trial described</t>
        </is>
      </c>
      <c r="E12" s="16" t="n">
        <v>1</v>
      </c>
      <c r="F12" s="16" t="inlineStr">
        <is>
          <t>Does the narrative describe any part of a trial proceeding?</t>
        </is>
      </c>
      <c r="G12" s="16" t="inlineStr">
        <is>
          <t>0 = no (absent); 1 = yes (present)</t>
        </is>
      </c>
      <c r="H12" s="16" t="inlineStr">
        <is>
          <t>Code 1 for any trial content: testimony, attorney arguments, jury deliberation, judge's instructions, sentencing. Code 0 if the narrative ends before or does not describe trial proceedings.</t>
        </is>
      </c>
      <c r="I12" s="16" t="inlineStr">
        <is>
          <t>Any trial proceeding described</t>
        </is>
      </c>
    </row>
    <row r="13" ht="48" customHeight="1">
      <c r="A13" s="16" t="inlineStr">
        <is>
          <t>B7</t>
        </is>
      </c>
      <c r="B13" s="16" t="inlineStr">
        <is>
          <t>B</t>
        </is>
      </c>
      <c r="C13" s="16" t="inlineStr">
        <is>
          <t>invest</t>
        </is>
      </c>
      <c r="D13" s="16" t="inlineStr">
        <is>
          <t>Investigation described</t>
        </is>
      </c>
      <c r="E13" s="16" t="n">
        <v>1</v>
      </c>
      <c r="F13" s="16" t="inlineStr">
        <is>
          <t>Does the narrative describe any investigative activity?</t>
        </is>
      </c>
      <c r="G13" s="16" t="inlineStr">
        <is>
          <t>0 = no (absent); 1 = yes (present)</t>
        </is>
      </c>
      <c r="H13" s="16" t="inlineStr">
        <is>
          <t>Code 1 for police investigation, medical examiner work, evidence collection, interviews with witnesses, forensic testing. Code 0 if no investigation is described.</t>
        </is>
      </c>
      <c r="I13" s="16" t="inlineStr">
        <is>
          <t>Any investigative activity described</t>
        </is>
      </c>
    </row>
    <row r="14" ht="32" customHeight="1">
      <c r="A14" s="16" t="inlineStr">
        <is>
          <t>C1</t>
        </is>
      </c>
      <c r="B14" s="16" t="inlineStr">
        <is>
          <t>C</t>
        </is>
      </c>
      <c r="C14" s="16" t="inlineStr">
        <is>
          <t>defagespec</t>
        </is>
      </c>
      <c r="D14" s="16" t="inlineStr">
        <is>
          <t>Defendant age specified</t>
        </is>
      </c>
      <c r="E14" s="16" t="n">
        <v>1</v>
      </c>
      <c r="F14" s="16" t="inlineStr">
        <is>
          <t>Does the narrative specify the defendant's age or age range?</t>
        </is>
      </c>
      <c r="G14" s="16" t="inlineStr">
        <is>
          <t>0 = no (absent); 1 = yes (present)</t>
        </is>
      </c>
      <c r="H14" s="16" t="inlineStr">
        <is>
          <t>Code 1 if any age information is given (specific age, age range, life stage like "teenager"). Code 0 if age is not mentioned.</t>
        </is>
      </c>
      <c r="I14" s="16" t="inlineStr">
        <is>
          <t>Age or age range mentioned</t>
        </is>
      </c>
    </row>
    <row r="15" ht="80" customHeight="1">
      <c r="A15" s="16" t="inlineStr">
        <is>
          <t>C1a</t>
        </is>
      </c>
      <c r="B15" s="16" t="inlineStr">
        <is>
          <t>C</t>
        </is>
      </c>
      <c r="C15" s="16" t="inlineStr">
        <is>
          <t>defcarrier</t>
        </is>
      </c>
      <c r="D15" s="16" t="inlineStr">
        <is>
          <t>Defendant is carrier</t>
        </is>
      </c>
      <c r="E15" s="16" t="n">
        <v>1</v>
      </c>
      <c r="F15" s="16" t="inlineStr">
        <is>
          <t>Is the defendant described as the person who was pregnant (i.e., the carrier of the fetus)?</t>
        </is>
      </c>
      <c r="G15" s="16" t="inlineStr">
        <is>
          <t>0 = no (defendant is someone other than the carrier); 1 = yes (defendant is the carrier); -88 = not specified</t>
        </is>
      </c>
      <c r="H15" s="16" t="inlineStr">
        <is>
          <t>Code 1 if the narrative describes the defendant as the pregnant person — i.e., the defendant carried the fetus. Code 0 if the defendant is described as another party (partner, parent, healthcare provider, prosecutor, etc.) and a different character is the pregnant person. Use -88 if the narrative does not make clear who the carrier is or whether the defendant is the carrier.</t>
        </is>
      </c>
      <c r="I15" s="16" t="inlineStr">
        <is>
          <t>Whether the defendant is the person who was pregnant</t>
        </is>
      </c>
    </row>
    <row r="16" ht="96" customHeight="1">
      <c r="A16" s="16" t="inlineStr">
        <is>
          <t>C1b</t>
        </is>
      </c>
      <c r="B16" s="16" t="inlineStr">
        <is>
          <t>C</t>
        </is>
      </c>
      <c r="C16" s="16" t="inlineStr">
        <is>
          <t>defrole</t>
        </is>
      </c>
      <c r="D16" s="16" t="inlineStr">
        <is>
          <t>Non-carrier defendant role</t>
        </is>
      </c>
      <c r="E16" s="16" t="n">
        <v>1</v>
      </c>
      <c r="F16" s="16" t="inlineStr">
        <is>
          <t>If the defendant is not the carrier, what is the defendant's relationship to the carrier?</t>
        </is>
      </c>
      <c r="G16" s="16" t="inlineStr">
        <is>
          <t>1 = partner / father of the pregnancy; 2 = parent or other family member; 3 = healthcare provider; 4 = other (friend, employer, stranger, etc.); -88 = not specified</t>
        </is>
      </c>
      <c r="H16" s="16" t="inlineStr">
        <is>
          <t>Code only if `defcarrier` = 0. Use 1 for the carrier's romantic partner or the father of the pregnancy. Use 2 for the carrier's parent, sibling, or other relative. Use 3 for a doctor, nurse, midwife, pharmacist, or other clinician charged in connection with the carrier's pregnancy. Use 4 for any other relationship not captured above. Use -88 if the narrative does not describe the relationship.</t>
        </is>
      </c>
      <c r="I16" s="16" t="inlineStr">
        <is>
          <t>Code if defcarrier = 0</t>
        </is>
      </c>
    </row>
    <row r="17" ht="48" customHeight="1">
      <c r="A17" s="16" t="inlineStr">
        <is>
          <t>C2</t>
        </is>
      </c>
      <c r="B17" s="16" t="inlineStr">
        <is>
          <t>C</t>
        </is>
      </c>
      <c r="C17" s="16" t="inlineStr">
        <is>
          <t>defagecat</t>
        </is>
      </c>
      <c r="D17" s="16" t="inlineStr">
        <is>
          <t>Defendant age category</t>
        </is>
      </c>
      <c r="E17" s="16" t="n">
        <v>1</v>
      </c>
      <c r="F17" s="16" t="inlineStr">
        <is>
          <t>What age category best fits the defendant?</t>
        </is>
      </c>
      <c r="G17" s="16" t="inlineStr">
        <is>
          <t>1 = minor (under 18); 2 = young adult (18–25); 3 = adult (26–40); 4 = older adult (40+); -88 = not specified</t>
        </is>
      </c>
      <c r="H17" s="16" t="inlineStr">
        <is>
          <t>Code only if `defagespec` = 1. Use the narrative's description to place the defendant in the closest category. If a range is given that spans two categories, use the midpoint. Use -88 if the narrative does not specify age.</t>
        </is>
      </c>
      <c r="I17" s="16" t="inlineStr">
        <is>
          <t>Code if defagespec = 1</t>
        </is>
      </c>
    </row>
    <row r="18" ht="80" customHeight="1">
      <c r="A18" s="16" t="inlineStr">
        <is>
          <t>C3</t>
        </is>
      </c>
      <c r="B18" s="16" t="inlineStr">
        <is>
          <t>C</t>
        </is>
      </c>
      <c r="C18" s="16" t="inlineStr">
        <is>
          <t>ses</t>
        </is>
      </c>
      <c r="D18" s="16" t="inlineStr">
        <is>
          <t>Socioeconomic status</t>
        </is>
      </c>
      <c r="E18" s="16" t="n">
        <v>1</v>
      </c>
      <c r="F18" s="16" t="inlineStr">
        <is>
          <t>What is the defendant's socioeconomic status in the narrative?</t>
        </is>
      </c>
      <c r="G18" s="16" t="inlineStr">
        <is>
          <t>1 = low/poverty; 2 = middle class; 3 = upper class; -88 = not specified</t>
        </is>
      </c>
      <c r="H18" s="16" t="inlineStr">
        <is>
          <t>Code 1 for explicit poverty indicators (no money, eviction, homelessness, unable to afford care). Code 2 for middle-class indicators (steady employment, home, reliable transportation). Code 3 for upper-class indicators (wealth, professional career, expensive possessions). Use -88 if no SES information is given.</t>
        </is>
      </c>
      <c r="I18" s="16" t="inlineStr">
        <is>
          <t>Overall SES indicators in the narrative</t>
        </is>
      </c>
    </row>
    <row r="19" ht="64" customHeight="1">
      <c r="A19" s="16" t="inlineStr">
        <is>
          <t>C4</t>
        </is>
      </c>
      <c r="B19" s="16" t="inlineStr">
        <is>
          <t>C</t>
        </is>
      </c>
      <c r="C19" s="16" t="inlineStr">
        <is>
          <t>relstatus</t>
        </is>
      </c>
      <c r="D19" s="16" t="inlineStr">
        <is>
          <t>Relationship status</t>
        </is>
      </c>
      <c r="E19" s="16" t="n">
        <v>1</v>
      </c>
      <c r="F19" s="16" t="inlineStr">
        <is>
          <t>What is the defendant's relationship status?</t>
        </is>
      </c>
      <c r="G19" s="16" t="inlineStr">
        <is>
          <t>1 = single/unpartnered; 2 = dating/in relationship; 3 = married; 4 = divorced/separated; -88 = not specified</t>
        </is>
      </c>
      <c r="H19" s="16" t="inlineStr">
        <is>
          <t>Use the narrative's description of the defendant's partnership status. If the defendant is described as having a partner without specifying marital status, use 2. Use -88 if relationship status is not mentioned.</t>
        </is>
      </c>
      <c r="I19" s="16" t="inlineStr">
        <is>
          <t>Defendant's relationship status</t>
        </is>
      </c>
    </row>
    <row r="20" ht="48" customHeight="1">
      <c r="A20" s="16" t="inlineStr">
        <is>
          <t>C5</t>
        </is>
      </c>
      <c r="B20" s="16" t="inlineStr">
        <is>
          <t>C</t>
        </is>
      </c>
      <c r="C20" s="16" t="inlineStr">
        <is>
          <t>existkids</t>
        </is>
      </c>
      <c r="D20" s="16" t="inlineStr">
        <is>
          <t>Existing children</t>
        </is>
      </c>
      <c r="E20" s="16" t="n">
        <v>1</v>
      </c>
      <c r="F20" s="16" t="inlineStr">
        <is>
          <t>Does the defendant have other children?</t>
        </is>
      </c>
      <c r="G20" s="16" t="inlineStr">
        <is>
          <t>0 = no (absent); 1 = yes (present)</t>
        </is>
      </c>
      <c r="H20" s="16" t="inlineStr">
        <is>
          <t>Code 1 for any mention of the defendant having children besides the pregnancy in the narrative. Code 0 if the narrative does not mention other children.</t>
        </is>
      </c>
      <c r="I20" s="16" t="inlineStr">
        <is>
          <t>Defendant has other children</t>
        </is>
      </c>
    </row>
    <row r="21" ht="32" customHeight="1">
      <c r="A21" s="16" t="inlineStr">
        <is>
          <t>C6</t>
        </is>
      </c>
      <c r="B21" s="16" t="inlineStr">
        <is>
          <t>C</t>
        </is>
      </c>
      <c r="C21" s="16" t="inlineStr">
        <is>
          <t>employment</t>
        </is>
      </c>
      <c r="D21" s="16" t="inlineStr">
        <is>
          <t>Employment mentioned</t>
        </is>
      </c>
      <c r="E21" s="16" t="n">
        <v>1</v>
      </c>
      <c r="F21" s="16" t="inlineStr">
        <is>
          <t>Does the narrative mention the defendant's job or employment status?</t>
        </is>
      </c>
      <c r="G21" s="16" t="inlineStr">
        <is>
          <t>0 = no (absent); 1 = yes (present); -88 = not specified</t>
        </is>
      </c>
      <c r="H21" s="16" t="inlineStr">
        <is>
          <t>Code 1 if the narrative mentions any employment information (job title, workplace, unemployment, student status). Code 0 if not mentioned.</t>
        </is>
      </c>
      <c r="I21" s="16" t="inlineStr">
        <is>
          <t>Job or employment status mentioned</t>
        </is>
      </c>
    </row>
    <row r="22" ht="64" customHeight="1">
      <c r="A22" s="16" t="inlineStr">
        <is>
          <t>C7</t>
        </is>
      </c>
      <c r="B22" s="16" t="inlineStr">
        <is>
          <t>C</t>
        </is>
      </c>
      <c r="C22" s="16" t="inlineStr">
        <is>
          <t>mentalhlth</t>
        </is>
      </c>
      <c r="D22" s="16" t="inlineStr">
        <is>
          <t>Mental health referenced</t>
        </is>
      </c>
      <c r="E22" s="16" t="n">
        <v>1</v>
      </c>
      <c r="F22" s="16" t="inlineStr">
        <is>
          <t>Does the narrative reference the defendant's mental health, emotional state, or psychiatric history?</t>
        </is>
      </c>
      <c r="G22" s="16" t="inlineStr">
        <is>
          <t>0 = no (absent); 1 = yes (present)</t>
        </is>
      </c>
      <c r="H22" s="16" t="inlineStr">
        <is>
          <t>Code 1 for any mental health content: depression, anxiety, postpartum disorders, psychiatric history, panic, emotional distress as a sustained state. Do not code for transient emotions tied to a specific event (those are captured elsewhere).</t>
        </is>
      </c>
      <c r="I22" s="16" t="inlineStr">
        <is>
          <t>Mental health, emotion, or psych history mentioned</t>
        </is>
      </c>
    </row>
    <row r="23" ht="48" customHeight="1">
      <c r="A23" s="16" t="inlineStr">
        <is>
          <t>C8</t>
        </is>
      </c>
      <c r="B23" s="16" t="inlineStr">
        <is>
          <t>C</t>
        </is>
      </c>
      <c r="C23" s="16" t="inlineStr">
        <is>
          <t>substuse</t>
        </is>
      </c>
      <c r="D23" s="16" t="inlineStr">
        <is>
          <t>Substance use referenced</t>
        </is>
      </c>
      <c r="E23" s="16" t="n">
        <v>1</v>
      </c>
      <c r="F23" s="16" t="inlineStr">
        <is>
          <t>Does the narrative reference the defendant's alcohol or drug use?</t>
        </is>
      </c>
      <c r="G23" s="16" t="inlineStr">
        <is>
          <t>0 = no (absent); 1 = yes (present); -88 = not specified</t>
        </is>
      </c>
      <c r="H23" s="16" t="inlineStr">
        <is>
          <t>Code 1 for any substance use mention (alcohol, illegal drugs, prescription misuse). Include both current and historical use. Do not code prescribed medication taken as directed.</t>
        </is>
      </c>
      <c r="I23" s="16" t="inlineStr">
        <is>
          <t>Alcohol or drug use mentioned</t>
        </is>
      </c>
    </row>
    <row r="24" ht="32" customHeight="1">
      <c r="A24" s="16" t="inlineStr">
        <is>
          <t>C9</t>
        </is>
      </c>
      <c r="B24" s="16" t="inlineStr">
        <is>
          <t>C</t>
        </is>
      </c>
      <c r="C24" s="16" t="inlineStr">
        <is>
          <t>priorcrim</t>
        </is>
      </c>
      <c r="D24" s="16" t="inlineStr">
        <is>
          <t>Prior criminal history</t>
        </is>
      </c>
      <c r="E24" s="16" t="n">
        <v>1</v>
      </c>
      <c r="F24" s="16" t="inlineStr">
        <is>
          <t>Does the narrative mention prior arrests, convictions, or criminal involvement?</t>
        </is>
      </c>
      <c r="G24" s="16" t="inlineStr">
        <is>
          <t>0 = no (absent); 1 = yes (present)</t>
        </is>
      </c>
      <c r="H24" s="16" t="inlineStr">
        <is>
          <t>Code 1 for any mention of prior criminal history (arrests, convictions, probation, prison). Code 0 if no prior criminal content is mentioned.</t>
        </is>
      </c>
      <c r="I24" s="16" t="inlineStr">
        <is>
          <t>Prior arrests/convictions mentioned</t>
        </is>
      </c>
    </row>
    <row r="25" ht="64" customHeight="1">
      <c r="A25" s="16" t="inlineStr">
        <is>
          <t>C10</t>
        </is>
      </c>
      <c r="B25" s="16" t="inlineStr">
        <is>
          <t>C</t>
        </is>
      </c>
      <c r="C25" s="16" t="inlineStr">
        <is>
          <t>defsympathy</t>
        </is>
      </c>
      <c r="D25" s="16" t="inlineStr">
        <is>
          <t>Defendant sympathy</t>
        </is>
      </c>
      <c r="E25" s="16" t="n">
        <v>1</v>
      </c>
      <c r="F25" s="16" t="inlineStr">
        <is>
          <t>Overall, how sympathetically is the defendant portrayed?</t>
        </is>
      </c>
      <c r="G25" s="16" t="inlineStr">
        <is>
          <t>1 = highly unsympathetic; 2 = somewhat unsympathetic; 3 = neutral; 4 = somewhat sympathetic; 5 = highly sympathetic</t>
        </is>
      </c>
      <c r="H25" s="16" t="inlineStr">
        <is>
          <t>Rate the narrative as a whole. Use 1 if the defendant is portrayed as malicious or without redemption. Use 5 if the defendant is portrayed as a victim of circumstance or thoroughly sympathetic. Use 3 for neutral or factual portrayals.</t>
        </is>
      </c>
      <c r="I25" s="16" t="inlineStr">
        <is>
          <t>Overall portrayal of the defendant</t>
        </is>
      </c>
    </row>
    <row r="26" ht="32" customHeight="1">
      <c r="A26" s="16" t="inlineStr">
        <is>
          <t>D1</t>
        </is>
      </c>
      <c r="B26" s="16" t="inlineStr">
        <is>
          <t>D</t>
        </is>
      </c>
      <c r="C26" s="16" t="inlineStr">
        <is>
          <t>gestspec</t>
        </is>
      </c>
      <c r="D26" s="16" t="inlineStr">
        <is>
          <t>Gestational age specified</t>
        </is>
      </c>
      <c r="E26" s="16" t="n">
        <v>1</v>
      </c>
      <c r="F26" s="16" t="inlineStr">
        <is>
          <t>Does the narrative specify how far along the pregnancy was?</t>
        </is>
      </c>
      <c r="G26" s="16" t="inlineStr">
        <is>
          <t>0 = no (absent); 1 = yes (present); -88 = not specified</t>
        </is>
      </c>
      <c r="H26" s="16" t="inlineStr">
        <is>
          <t>Code 1 for any gestational age information (weeks, trimester, phrases like "early pregnancy" or "nearly full term"). Code 0 if not mentioned.</t>
        </is>
      </c>
      <c r="I26" s="16" t="inlineStr">
        <is>
          <t>How far along the pregnancy was, if mentioned</t>
        </is>
      </c>
    </row>
    <row r="27" ht="64" customHeight="1">
      <c r="A27" s="16" t="inlineStr">
        <is>
          <t>D2</t>
        </is>
      </c>
      <c r="B27" s="16" t="inlineStr">
        <is>
          <t>D</t>
        </is>
      </c>
      <c r="C27" s="16" t="inlineStr">
        <is>
          <t>gestcat</t>
        </is>
      </c>
      <c r="D27" s="16" t="inlineStr">
        <is>
          <t>Gestational age category</t>
        </is>
      </c>
      <c r="E27" s="16" t="n">
        <v>1</v>
      </c>
      <c r="F27" s="16" t="inlineStr">
        <is>
          <t>What gestational-age category best fits the narrative?</t>
        </is>
      </c>
      <c r="G27" s="16" t="inlineStr">
        <is>
          <t>1 = first trimester (0–12 weeks); 2 = second trimester (13–27 weeks); 3 = third trimester (28+ weeks); -88 = not specified</t>
        </is>
      </c>
      <c r="H27" s="16" t="inlineStr">
        <is>
          <t>Code only if `gestspec` = 1. Map narrative descriptions to trimester categories. "Newly pregnant" = 1. "Showing" or "middle of pregnancy" = 2. "Late-term," "near delivery," or "third trimester" = 3. Use -88 if the narrative does not specify.</t>
        </is>
      </c>
      <c r="I27" s="16" t="inlineStr">
        <is>
          <t>Code if gestspec = 1</t>
        </is>
      </c>
    </row>
    <row r="28" ht="64" customHeight="1">
      <c r="A28" s="16" t="inlineStr">
        <is>
          <t>D3</t>
        </is>
      </c>
      <c r="B28" s="16" t="inlineStr">
        <is>
          <t>D</t>
        </is>
      </c>
      <c r="C28" s="16" t="inlineStr">
        <is>
          <t>wantedness</t>
        </is>
      </c>
      <c r="D28" s="16" t="inlineStr">
        <is>
          <t>Pregnancy wantedness</t>
        </is>
      </c>
      <c r="E28" s="16" t="n">
        <v>1</v>
      </c>
      <c r="F28" s="16" t="inlineStr">
        <is>
          <t>How wanted is the pregnancy in the narrative?</t>
        </is>
      </c>
      <c r="G28" s="16" t="inlineStr">
        <is>
          <t>1 = clearly unwanted; 2 = ambiguous or mixed; 3 = clearly wanted; -88 = not specified</t>
        </is>
      </c>
      <c r="H28" s="16" t="inlineStr">
        <is>
          <t>Code 1 if the defendant is described as not wanting the pregnancy or trying to end it. Code 3 if the defendant is described as desiring the pregnancy or grieving its loss. Code 2 if the narrative shows both sides or ambivalence. Use -88 if wantedness is not addressed.</t>
        </is>
      </c>
      <c r="I28" s="16" t="inlineStr">
        <is>
          <t>Defendant's stance toward the pregnancy</t>
        </is>
      </c>
    </row>
    <row r="29" ht="32" customHeight="1">
      <c r="A29" s="16" t="inlineStr">
        <is>
          <t>D4</t>
        </is>
      </c>
      <c r="B29" s="16" t="inlineStr">
        <is>
          <t>D</t>
        </is>
      </c>
      <c r="C29" s="16" t="inlineStr">
        <is>
          <t>pregdisc</t>
        </is>
      </c>
      <c r="D29" s="16" t="inlineStr">
        <is>
          <t>Pregnancy discovery</t>
        </is>
      </c>
      <c r="E29" s="16" t="n">
        <v>1</v>
      </c>
      <c r="F29" s="16" t="inlineStr">
        <is>
          <t>Does the narrative describe when or how the defendant learned of the pregnancy?</t>
        </is>
      </c>
      <c r="G29" s="16" t="inlineStr">
        <is>
          <t>0 = no (absent); 1 = yes (present); -88 = not specified</t>
        </is>
      </c>
      <c r="H29" s="16" t="inlineStr">
        <is>
          <t>Code 1 for any mention of pregnancy discovery (home test, doctor visit, missed period). Code 0 if discovery is not described.</t>
        </is>
      </c>
      <c r="I29" s="16" t="inlineStr">
        <is>
          <t>How/when the defendant learned of the pregnancy</t>
        </is>
      </c>
    </row>
    <row r="30" ht="48" customHeight="1">
      <c r="A30" s="16" t="inlineStr">
        <is>
          <t>D5</t>
        </is>
      </c>
      <c r="B30" s="16" t="inlineStr">
        <is>
          <t>D</t>
        </is>
      </c>
      <c r="C30" s="16" t="inlineStr">
        <is>
          <t>prenatal</t>
        </is>
      </c>
      <c r="D30" s="16" t="inlineStr">
        <is>
          <t>Prenatal care</t>
        </is>
      </c>
      <c r="E30" s="16" t="n">
        <v>1</v>
      </c>
      <c r="F30" s="16" t="inlineStr">
        <is>
          <t>What level of prenatal care does the narrative describe?</t>
        </is>
      </c>
      <c r="G30" s="16" t="inlineStr">
        <is>
          <t>1 = none / actively avoided; 2 = some / inconsistent; 3 = regular prenatal care; -88 = not specified</t>
        </is>
      </c>
      <c r="H30" s="16" t="inlineStr">
        <is>
          <t>Code 1 if the defendant had no prenatal care or avoided it. Code 2 if care was sporadic or incomplete. Code 3 if regular prenatal appointments are mentioned. Use -88 if prenatal care is not addressed.</t>
        </is>
      </c>
      <c r="I30" s="16" t="inlineStr">
        <is>
          <t>Defendant's prenatal care</t>
        </is>
      </c>
    </row>
    <row r="31" ht="48" customHeight="1">
      <c r="A31" s="16" t="inlineStr">
        <is>
          <t>D6</t>
        </is>
      </c>
      <c r="B31" s="16" t="inlineStr">
        <is>
          <t>D</t>
        </is>
      </c>
      <c r="C31" s="16" t="inlineStr">
        <is>
          <t>pregconceal</t>
        </is>
      </c>
      <c r="D31" s="16" t="inlineStr">
        <is>
          <t>Concealment of pregnancy</t>
        </is>
      </c>
      <c r="E31" s="16" t="n">
        <v>1</v>
      </c>
      <c r="F31" s="16" t="inlineStr">
        <is>
          <t>Does the defendant hide or conceal the pregnancy from others?</t>
        </is>
      </c>
      <c r="G31" s="16" t="inlineStr">
        <is>
          <t>0 = no (absent); 1 = yes (present)</t>
        </is>
      </c>
      <c r="H31" s="16" t="inlineStr">
        <is>
          <t>Code 1 if the narrative describes active concealment: wearing loose clothing, not telling family, avoiding medical settings. Code 0 if concealment is not described.</t>
        </is>
      </c>
      <c r="I31" s="16" t="inlineStr">
        <is>
          <t>Defendant hiding pregnancy from others</t>
        </is>
      </c>
    </row>
    <row r="32" ht="48" customHeight="1">
      <c r="A32" s="16" t="inlineStr">
        <is>
          <t>D7</t>
        </is>
      </c>
      <c r="B32" s="16" t="inlineStr">
        <is>
          <t>D</t>
        </is>
      </c>
      <c r="C32" s="16" t="inlineStr">
        <is>
          <t>hcaccess</t>
        </is>
      </c>
      <c r="D32" s="16" t="inlineStr">
        <is>
          <t>Healthcare access</t>
        </is>
      </c>
      <c r="E32" s="16" t="n">
        <v>1</v>
      </c>
      <c r="F32" s="16" t="inlineStr">
        <is>
          <t>What level of healthcare access does the narrative describe?</t>
        </is>
      </c>
      <c r="G32" s="16" t="inlineStr">
        <is>
          <t>1 = no access / significant barriers; 2 = limited access; 3 = full access; -88 = not specified</t>
        </is>
      </c>
      <c r="H32" s="16" t="inlineStr">
        <is>
          <t>Code 1 for descriptions of barriers (no insurance, no provider nearby, abortion ban, language or immigration barrier). Code 3 for full access. Code 2 for partial or ambiguous access. Use -88 if access is not mentioned.</t>
        </is>
      </c>
      <c r="I32" s="16" t="inlineStr">
        <is>
          <t>Defendant's healthcare access</t>
        </is>
      </c>
    </row>
    <row r="33" ht="64" customHeight="1">
      <c r="A33" s="16" t="inlineStr">
        <is>
          <t>D8</t>
        </is>
      </c>
      <c r="B33" s="16" t="inlineStr">
        <is>
          <t>D</t>
        </is>
      </c>
      <c r="C33" s="16" t="inlineStr">
        <is>
          <t>pregoutcome</t>
        </is>
      </c>
      <c r="D33" s="16" t="inlineStr">
        <is>
          <t>Pregnancy outcome</t>
        </is>
      </c>
      <c r="E33" s="16" t="n">
        <v>1</v>
      </c>
      <c r="F33" s="16" t="inlineStr">
        <is>
          <t>What is the outcome of the pregnancy in the narrative?</t>
        </is>
      </c>
      <c r="G33" s="16" t="inlineStr">
        <is>
          <t>1 = live birth; 2 = stillbirth; 3 = miscarriage; 4 = abortion/termination; -88 = not specified</t>
        </is>
      </c>
      <c r="H33" s="16" t="inlineStr">
        <is>
          <t>Code the outcome as described. If multiple outcomes appear (e.g., attempted abortion resulting in miscarriage), use the outcome that ends the pregnancy narrative. Use -88 if the outcome is not given.</t>
        </is>
      </c>
      <c r="I33" s="16" t="inlineStr">
        <is>
          <t>Outcome of the pregnancy in the narrative</t>
        </is>
      </c>
    </row>
    <row r="34" ht="112" customHeight="1">
      <c r="A34" s="16" t="inlineStr">
        <is>
          <t>E1</t>
        </is>
      </c>
      <c r="B34" s="16" t="inlineStr">
        <is>
          <t>E</t>
        </is>
      </c>
      <c r="C34" s="16" t="inlineStr">
        <is>
          <t>mentalstate</t>
        </is>
      </c>
      <c r="D34" s="16" t="inlineStr">
        <is>
          <t>Dominant mental state</t>
        </is>
      </c>
      <c r="E34" s="16" t="n">
        <v>1</v>
      </c>
      <c r="F34" s="16" t="inlineStr">
        <is>
          <t>What mental state does the narrative most strongly imply the defendant had?</t>
        </is>
      </c>
      <c r="G34" s="16" t="inlineStr">
        <is>
          <t>1 = purposeful (intended outcome); 2 = knowing (aware outcome practically certain); 3 = reckless (conscious disregard of substantial risk); 4 = negligent (should have been aware); 5 = accidental (no fault implied); -88 = not specified</t>
        </is>
      </c>
      <c r="H34" s="16" t="inlineStr">
        <is>
          <t>Code the mental state that best fits the narrative as a whole. If the narrative is unclear, default to the lower-culpability code (e.g., negligent rather than reckless). Follow MPC hierarchy: purposeful \&gt; knowing \&gt; reckless \&gt; negligent \&gt; accidental.</t>
        </is>
      </c>
      <c r="I34" s="16" t="inlineStr">
        <is>
          <t>Mental state most strongly implied by the narrative</t>
        </is>
      </c>
    </row>
    <row r="35" ht="48" customHeight="1">
      <c r="A35" s="16" t="inlineStr">
        <is>
          <t>E2</t>
        </is>
      </c>
      <c r="B35" s="16" t="inlineStr">
        <is>
          <t>E</t>
        </is>
      </c>
      <c r="C35" s="16" t="inlineStr">
        <is>
          <t>planning</t>
        </is>
      </c>
      <c r="D35" s="16" t="inlineStr">
        <is>
          <t>Planning present</t>
        </is>
      </c>
      <c r="E35" s="16" t="n">
        <v>1</v>
      </c>
      <c r="F35" s="16" t="inlineStr">
        <is>
          <t>Does the narrative describe advance planning, preparation, or premeditation?</t>
        </is>
      </c>
      <c r="G35" s="16" t="inlineStr">
        <is>
          <t>0 = no (absent); 1 = yes (present)</t>
        </is>
      </c>
      <c r="H35" s="16" t="inlineStr">
        <is>
          <t>Code 1 if the defendant is described as planning ahead, making preparations, or thinking through the act in advance. Code 0 if the narrative describes a spontaneous or unplanned action.</t>
        </is>
      </c>
      <c r="I35" s="16" t="inlineStr">
        <is>
          <t>Advance planning, preparation, or premeditation described</t>
        </is>
      </c>
    </row>
    <row r="36" ht="32" customHeight="1">
      <c r="A36" s="16" t="inlineStr">
        <is>
          <t>E3</t>
        </is>
      </c>
      <c r="B36" s="16" t="inlineStr">
        <is>
          <t>E</t>
        </is>
      </c>
      <c r="C36" s="16" t="inlineStr">
        <is>
          <t>impulsive</t>
        </is>
      </c>
      <c r="D36" s="16" t="inlineStr">
        <is>
          <t>Impulsivity present</t>
        </is>
      </c>
      <c r="E36" s="16" t="n">
        <v>1</v>
      </c>
      <c r="F36" s="16" t="inlineStr">
        <is>
          <t>Does the narrative describe the act as impulsive, spontaneous, or unplanned?</t>
        </is>
      </c>
      <c r="G36" s="16" t="inlineStr">
        <is>
          <t>0 = no (absent); 1 = yes (present)</t>
        </is>
      </c>
      <c r="H36" s="16" t="inlineStr">
        <is>
          <t>Code 1 if the act is described as sudden, unplanned, or in a moment of crisis. Code 0 if not. This can co-occur with `mentalstate` codes 3, 4, or 5.</t>
        </is>
      </c>
      <c r="I36" s="16" t="inlineStr">
        <is>
          <t>Act described as impulsive, spontaneous, or unplanned</t>
        </is>
      </c>
    </row>
    <row r="37" ht="32" customHeight="1">
      <c r="A37" s="16" t="inlineStr">
        <is>
          <t>E4</t>
        </is>
      </c>
      <c r="B37" s="16" t="inlineStr">
        <is>
          <t>E</t>
        </is>
      </c>
      <c r="C37" s="16" t="inlineStr">
        <is>
          <t>motfinancial</t>
        </is>
      </c>
      <c r="D37" s="16" t="inlineStr">
        <is>
          <t>Motive: financial</t>
        </is>
      </c>
      <c r="E37" s="16" t="n">
        <v>1</v>
      </c>
      <c r="F37" s="16" t="inlineStr">
        <is>
          <t>Does the narrative mention financial reasons for the act?</t>
        </is>
      </c>
      <c r="G37" s="16" t="inlineStr">
        <is>
          <t>0 = no (absent); 1 = yes (present)</t>
        </is>
      </c>
      <c r="H37" s="16" t="inlineStr">
        <is>
          <t>Code 1 for any financial motive: cost of a child, poverty, inability to afford care, job loss, medical bills. Code 0 if financial concerns are not mentioned.</t>
        </is>
      </c>
      <c r="I37" s="16" t="inlineStr">
        <is>
          <t>Financial reasons mentioned (cost of child, poverty, economic pressure)</t>
        </is>
      </c>
    </row>
    <row r="38" ht="32" customHeight="1">
      <c r="A38" s="16" t="inlineStr">
        <is>
          <t>E5</t>
        </is>
      </c>
      <c r="B38" s="16" t="inlineStr">
        <is>
          <t>E</t>
        </is>
      </c>
      <c r="C38" s="16" t="inlineStr">
        <is>
          <t>motcoercion</t>
        </is>
      </c>
      <c r="D38" s="16" t="inlineStr">
        <is>
          <t>Motive: coercion</t>
        </is>
      </c>
      <c r="E38" s="16" t="n">
        <v>1</v>
      </c>
      <c r="F38" s="16" t="inlineStr">
        <is>
          <t>Does the narrative describe external pressure from another person?</t>
        </is>
      </c>
      <c r="G38" s="16" t="inlineStr">
        <is>
          <t>0 = no (absent); 1 = yes (present)</t>
        </is>
      </c>
      <c r="H38" s="16" t="inlineStr">
        <is>
          <t>Code 1 if the defendant is described as being pressured or coerced by a partner, parent, or other person. Code 0 if no external pressure is described.</t>
        </is>
      </c>
      <c r="I38" s="16" t="inlineStr">
        <is>
          <t>External pressure from another person described</t>
        </is>
      </c>
    </row>
    <row r="39" ht="48" customHeight="1">
      <c r="A39" s="16" t="inlineStr">
        <is>
          <t>E6</t>
        </is>
      </c>
      <c r="B39" s="16" t="inlineStr">
        <is>
          <t>E</t>
        </is>
      </c>
      <c r="C39" s="16" t="inlineStr">
        <is>
          <t>motfear</t>
        </is>
      </c>
      <c r="D39" s="16" t="inlineStr">
        <is>
          <t>Motive: fear</t>
        </is>
      </c>
      <c r="E39" s="16" t="n">
        <v>1</v>
      </c>
      <c r="F39" s="16" t="inlineStr">
        <is>
          <t>Does the narrative describe fear of consequences as a motive?</t>
        </is>
      </c>
      <c r="G39" s="16" t="inlineStr">
        <is>
          <t>0 = no (absent); 1 = yes (present)</t>
        </is>
      </c>
      <c r="H39" s="16" t="inlineStr">
        <is>
          <t>Code 1 for fear of arrest, fear of social stigma, fear of family rejection, fear of losing a job or housing. Do not code for general anxiety about pregnancy (that falls under `mentalhlth`).</t>
        </is>
      </c>
      <c r="I39" s="16" t="inlineStr">
        <is>
          <t>Fear of consequences (legal, social, familial) described</t>
        </is>
      </c>
    </row>
    <row r="40" ht="48" customHeight="1">
      <c r="A40" s="16" t="inlineStr">
        <is>
          <t>E7</t>
        </is>
      </c>
      <c r="B40" s="16" t="inlineStr">
        <is>
          <t>E</t>
        </is>
      </c>
      <c r="C40" s="16" t="inlineStr">
        <is>
          <t>motmedical</t>
        </is>
      </c>
      <c r="D40" s="16" t="inlineStr">
        <is>
          <t>Motive: medical</t>
        </is>
      </c>
      <c r="E40" s="16" t="n">
        <v>1</v>
      </c>
      <c r="F40" s="16" t="inlineStr">
        <is>
          <t>Does the narrative describe medical necessity or health reasons?</t>
        </is>
      </c>
      <c r="G40" s="16" t="inlineStr">
        <is>
          <t>0 = no (absent); 1 = yes (present)</t>
        </is>
      </c>
      <c r="H40" s="16" t="inlineStr">
        <is>
          <t>Code 1 for descriptions of medical necessity: fetal anomaly, maternal health risk, life-threatening condition, doctor's recommendation to end pregnancy. Code 0 if no medical motive is mentioned.</t>
        </is>
      </c>
      <c r="I40" s="16" t="inlineStr">
        <is>
          <t>Medical necessity or health reasons described</t>
        </is>
      </c>
    </row>
    <row r="41" ht="32" customHeight="1">
      <c r="A41" s="16" t="inlineStr">
        <is>
          <t>E8</t>
        </is>
      </c>
      <c r="B41" s="16" t="inlineStr">
        <is>
          <t>E</t>
        </is>
      </c>
      <c r="C41" s="16" t="inlineStr">
        <is>
          <t>motautonomy</t>
        </is>
      </c>
      <c r="D41" s="16" t="inlineStr">
        <is>
          <t>Motive: autonomy</t>
        </is>
      </c>
      <c r="E41" s="16" t="n">
        <v>1</v>
      </c>
      <c r="F41" s="16" t="inlineStr">
        <is>
          <t>Does the narrative reference personal choice, bodily autonomy, or reproductive autonomy?</t>
        </is>
      </c>
      <c r="G41" s="16" t="inlineStr">
        <is>
          <t>0 = no (absent); 1 = yes (present)</t>
        </is>
      </c>
      <c r="H41" s="16" t="inlineStr">
        <is>
          <t>Code 1 for explicit language about choice, autonomy, "my body," "my decision," or reproductive rights. Code 0 if autonomy framing is not used.</t>
        </is>
      </c>
      <c r="I41" s="16" t="inlineStr">
        <is>
          <t>Personal choice, bodily autonomy, or reproductive autonomy referenced</t>
        </is>
      </c>
    </row>
    <row r="42" ht="48" customHeight="1">
      <c r="A42" s="16" t="inlineStr">
        <is>
          <t>E9</t>
        </is>
      </c>
      <c r="B42" s="16" t="inlineStr">
        <is>
          <t>E</t>
        </is>
      </c>
      <c r="C42" s="16" t="inlineStr">
        <is>
          <t>motdesp</t>
        </is>
      </c>
      <c r="D42" s="16" t="inlineStr">
        <is>
          <t>Motive: desperation</t>
        </is>
      </c>
      <c r="E42" s="16" t="n">
        <v>1</v>
      </c>
      <c r="F42" s="16" t="inlineStr">
        <is>
          <t>Does the narrative describe desperation, panic, or a crisis mental state?</t>
        </is>
      </c>
      <c r="G42" s="16" t="inlineStr">
        <is>
          <t>0 = no (absent); 1 = yes (present)</t>
        </is>
      </c>
      <c r="H42" s="16" t="inlineStr">
        <is>
          <t>Code 1 for descriptions of panic, desperation, being "at the end of one's rope," or crisis. This is stronger than general fear and captures an acute state. Code 0 if not described.</t>
        </is>
      </c>
      <c r="I42" s="16" t="inlineStr">
        <is>
          <t>Desperation, panic, or crisis mental state described</t>
        </is>
      </c>
    </row>
    <row r="43" ht="48" customHeight="1">
      <c r="A43" s="16" t="inlineStr">
        <is>
          <t>E10</t>
        </is>
      </c>
      <c r="B43" s="16" t="inlineStr">
        <is>
          <t>E</t>
        </is>
      </c>
      <c r="C43" s="16" t="inlineStr">
        <is>
          <t>motmalice</t>
        </is>
      </c>
      <c r="D43" s="16" t="inlineStr">
        <is>
          <t>Motive: malice</t>
        </is>
      </c>
      <c r="E43" s="16" t="n">
        <v>1</v>
      </c>
      <c r="F43" s="16" t="inlineStr">
        <is>
          <t>Does the narrative describe cruelty, indifference to harm, or malicious intent?</t>
        </is>
      </c>
      <c r="G43" s="16" t="inlineStr">
        <is>
          <t>0 = no (absent); 1 = yes (present)</t>
        </is>
      </c>
      <c r="H43" s="16" t="inlineStr">
        <is>
          <t>Code 1 for descriptions of cruelty, callousness, or malicious intent toward the fetus or others. Code 0 if the defendant is not portrayed as malicious. Most narratives will not meet this code.</t>
        </is>
      </c>
      <c r="I43" s="16" t="inlineStr">
        <is>
          <t>Cruelty, indifference to harm, or malicious intent described</t>
        </is>
      </c>
    </row>
    <row r="44" ht="32" customHeight="1">
      <c r="A44" s="16" t="inlineStr">
        <is>
          <t>F1</t>
        </is>
      </c>
      <c r="B44" s="16" t="inlineStr">
        <is>
          <t>F</t>
        </is>
      </c>
      <c r="C44" s="16" t="inlineStr">
        <is>
          <t>methoddesc</t>
        </is>
      </c>
      <c r="D44" s="16" t="inlineStr">
        <is>
          <t>Method described</t>
        </is>
      </c>
      <c r="E44" s="16" t="n">
        <v>1</v>
      </c>
      <c r="F44" s="16" t="inlineStr">
        <is>
          <t>Does the narrative specify the method or means of the alleged crime?</t>
        </is>
      </c>
      <c r="G44" s="16" t="inlineStr">
        <is>
          <t>0 = no (absent); 1 = yes (present)</t>
        </is>
      </c>
      <c r="H44" s="16" t="inlineStr">
        <is>
          <t>Code 1 if the narrative describes what the defendant did (took pills, had a surgical procedure, etc.). Code 0 if the method is not specified.</t>
        </is>
      </c>
      <c r="I44" s="16" t="inlineStr">
        <is>
          <t>Method or means of the alleged crime specified</t>
        </is>
      </c>
    </row>
    <row r="45" ht="96" customHeight="1">
      <c r="A45" s="16" t="inlineStr">
        <is>
          <t>F2</t>
        </is>
      </c>
      <c r="B45" s="16" t="inlineStr">
        <is>
          <t>F</t>
        </is>
      </c>
      <c r="C45" s="16" t="inlineStr">
        <is>
          <t>methodtype</t>
        </is>
      </c>
      <c r="D45" s="16" t="inlineStr">
        <is>
          <t>Method type</t>
        </is>
      </c>
      <c r="E45" s="16" t="n">
        <v>1</v>
      </c>
      <c r="F45" s="16" t="inlineStr">
        <is>
          <t>What method type best fits the narrative?</t>
        </is>
      </c>
      <c r="G45" s="16" t="inlineStr">
        <is>
          <t>1 = medication/pills; 2 = substances/drugs; 3 = physical action; 4 = medical procedure; 5 = neglect/omission; 6 = disposal method; -88 = not described</t>
        </is>
      </c>
      <c r="H45" s="16" t="inlineStr">
        <is>
          <t>Code only if `methoddesc` = 1. Choose the single best-fitting category. Use 1 for misoprostol, mifepristone, or other medication abortion. Use 2 for alcohol or illicit drug use during pregnancy. Use 3 for physical trauma or self-harm. Use 4 for surgical abortion, D&amp;C, or other in-clinic procedure. Use 5 for failure to seek care or failure to report. Use 6 when the charged conduct is disposal of remains. Use -88 if the narrative does not specify.</t>
        </is>
      </c>
      <c r="I45" s="16" t="inlineStr">
        <is>
          <t>Code if methoddesc = 1</t>
        </is>
      </c>
    </row>
    <row r="46" ht="32" customHeight="1">
      <c r="A46" s="16" t="inlineStr">
        <is>
          <t>F3</t>
        </is>
      </c>
      <c r="B46" s="16" t="inlineStr">
        <is>
          <t>F</t>
        </is>
      </c>
      <c r="C46" s="16" t="inlineStr">
        <is>
          <t>netsearch</t>
        </is>
      </c>
      <c r="D46" s="16" t="inlineStr">
        <is>
          <t>Internet searches mentioned</t>
        </is>
      </c>
      <c r="E46" s="16" t="n">
        <v>1</v>
      </c>
      <c r="F46" s="16" t="inlineStr">
        <is>
          <t>Does the narrative mention online searches for abortion, pills, or disposal?</t>
        </is>
      </c>
      <c r="G46" s="16" t="inlineStr">
        <is>
          <t>0 = no (absent); 1 = yes (present)</t>
        </is>
      </c>
      <c r="H46" s="16" t="inlineStr">
        <is>
          <t>Code 1 for any reference to internet searches used as evidence (web history, search terms, online orders). Code 0 if not mentioned.</t>
        </is>
      </c>
      <c r="I46" s="16" t="inlineStr">
        <is>
          <t>Online searches for abortion, pills, or disposal</t>
        </is>
      </c>
    </row>
    <row r="47" ht="32" customHeight="1">
      <c r="A47" s="16" t="inlineStr">
        <is>
          <t>F4</t>
        </is>
      </c>
      <c r="B47" s="16" t="inlineStr">
        <is>
          <t>F</t>
        </is>
      </c>
      <c r="C47" s="16" t="inlineStr">
        <is>
          <t>digevid</t>
        </is>
      </c>
      <c r="D47" s="16" t="inlineStr">
        <is>
          <t>Digital evidence</t>
        </is>
      </c>
      <c r="E47" s="16" t="n">
        <v>1</v>
      </c>
      <c r="F47" s="16" t="inlineStr">
        <is>
          <t>Does the narrative reference digital communications as evidence?</t>
        </is>
      </c>
      <c r="G47" s="16" t="inlineStr">
        <is>
          <t>0 = no (absent); 1 = yes (present)</t>
        </is>
      </c>
      <c r="H47" s="16" t="inlineStr">
        <is>
          <t>Code 1 for text messages, emails, social media posts, or other digital communications used as evidence. Code 0 if not mentioned.</t>
        </is>
      </c>
      <c r="I47" s="16" t="inlineStr">
        <is>
          <t>Text messages, emails, social media as evidence</t>
        </is>
      </c>
    </row>
    <row r="48" ht="32" customHeight="1">
      <c r="A48" s="16" t="inlineStr">
        <is>
          <t>F5</t>
        </is>
      </c>
      <c r="B48" s="16" t="inlineStr">
        <is>
          <t>F</t>
        </is>
      </c>
      <c r="C48" s="16" t="inlineStr">
        <is>
          <t>physevid</t>
        </is>
      </c>
      <c r="D48" s="16" t="inlineStr">
        <is>
          <t>Physical evidence</t>
        </is>
      </c>
      <c r="E48" s="16" t="n">
        <v>1</v>
      </c>
      <c r="F48" s="16" t="inlineStr">
        <is>
          <t>Does the narrative reference physical objects as evidence?</t>
        </is>
      </c>
      <c r="G48" s="16" t="inlineStr">
        <is>
          <t>0 = no (absent); 1 = yes (present)</t>
        </is>
      </c>
      <c r="H48" s="16" t="inlineStr">
        <is>
          <t>Code 1 for any physical evidence: pills, packaging, fetal remains, bloody items, medical records (as physical documents). Code 0 if not mentioned.</t>
        </is>
      </c>
      <c r="I48" s="16" t="inlineStr">
        <is>
          <t>Physical objects as evidence (pills, packaging, remains, records)</t>
        </is>
      </c>
    </row>
    <row r="49" ht="32" customHeight="1">
      <c r="A49" s="16" t="inlineStr">
        <is>
          <t>F6</t>
        </is>
      </c>
      <c r="B49" s="16" t="inlineStr">
        <is>
          <t>F</t>
        </is>
      </c>
      <c r="C49" s="16" t="inlineStr">
        <is>
          <t>witness</t>
        </is>
      </c>
      <c r="D49" s="16" t="inlineStr">
        <is>
          <t>Witness testimony</t>
        </is>
      </c>
      <c r="E49" s="16" t="n">
        <v>1</v>
      </c>
      <c r="F49" s="16" t="inlineStr">
        <is>
          <t>Does the narrative reference another person's testimony or statements?</t>
        </is>
      </c>
      <c r="G49" s="16" t="inlineStr">
        <is>
          <t>0 = no (absent); 1 = yes (present)</t>
        </is>
      </c>
      <c r="H49" s="16" t="inlineStr">
        <is>
          <t>Code 1 if a witness testifies or makes a statement that appears as evidence. Code 0 if no witness statements are described.</t>
        </is>
      </c>
      <c r="I49" s="16" t="inlineStr">
        <is>
          <t>Another person's testimony or statements referenced</t>
        </is>
      </c>
    </row>
    <row r="50" ht="48" customHeight="1">
      <c r="A50" s="16" t="inlineStr">
        <is>
          <t>F7</t>
        </is>
      </c>
      <c r="B50" s="16" t="inlineStr">
        <is>
          <t>F</t>
        </is>
      </c>
      <c r="C50" s="16" t="inlineStr">
        <is>
          <t>medevid</t>
        </is>
      </c>
      <c r="D50" s="16" t="inlineStr">
        <is>
          <t>Medical evidence</t>
        </is>
      </c>
      <c r="E50" s="16" t="n">
        <v>1</v>
      </c>
      <c r="F50" s="16" t="inlineStr">
        <is>
          <t>Does the narrative reference medical examiner reports, autopsy, toxicology, or medical records?</t>
        </is>
      </c>
      <c r="G50" s="16" t="inlineStr">
        <is>
          <t>0 = no (absent); 1 = yes (present)</t>
        </is>
      </c>
      <c r="H50" s="16" t="inlineStr">
        <is>
          <t>Code 1 for forensic or medical evidence introduced in the narrative. Code 0 if not mentioned. Do not code for mere mention of a doctor visit without evidentiary framing.</t>
        </is>
      </c>
      <c r="I50" s="16" t="inlineStr">
        <is>
          <t>Medical examiner report, autopsy, toxicology, or medical records</t>
        </is>
      </c>
    </row>
    <row r="51" ht="32" customHeight="1">
      <c r="A51" s="16" t="inlineStr">
        <is>
          <t>F8</t>
        </is>
      </c>
      <c r="B51" s="16" t="inlineStr">
        <is>
          <t>F</t>
        </is>
      </c>
      <c r="C51" s="16" t="inlineStr">
        <is>
          <t>confession</t>
        </is>
      </c>
      <c r="D51" s="16" t="inlineStr">
        <is>
          <t>Confession</t>
        </is>
      </c>
      <c r="E51" s="16" t="n">
        <v>1</v>
      </c>
      <c r="F51" s="16" t="inlineStr">
        <is>
          <t>Does the defendant confess or make incriminating statements?</t>
        </is>
      </c>
      <c r="G51" s="16" t="inlineStr">
        <is>
          <t>0 = no (absent); 1 = yes (present)</t>
        </is>
      </c>
      <c r="H51" s="16" t="inlineStr">
        <is>
          <t>Code 1 if the defendant admits guilt, makes a statement to police, or otherwise incriminates herself. Code 0 if no confession is described.</t>
        </is>
      </c>
      <c r="I51" s="16" t="inlineStr">
        <is>
          <t>Defendant confessed or made incriminating statements</t>
        </is>
      </c>
    </row>
    <row r="52" ht="32" customHeight="1">
      <c r="A52" s="16" t="inlineStr">
        <is>
          <t>F9</t>
        </is>
      </c>
      <c r="B52" s="16" t="inlineStr">
        <is>
          <t>F</t>
        </is>
      </c>
      <c r="C52" s="16" t="inlineStr">
        <is>
          <t>evidconceal</t>
        </is>
      </c>
      <c r="D52" s="16" t="inlineStr">
        <is>
          <t>Concealment of evidence</t>
        </is>
      </c>
      <c r="E52" s="16" t="n">
        <v>1</v>
      </c>
      <c r="F52" s="16" t="inlineStr">
        <is>
          <t>Does the defendant hide, destroy, or dispose of evidence?</t>
        </is>
      </c>
      <c r="G52" s="16" t="inlineStr">
        <is>
          <t>0 = no (absent); 1 = yes (present)</t>
        </is>
      </c>
      <c r="H52" s="16" t="inlineStr">
        <is>
          <t>Code 1 if the defendant is described as hiding evidence, cleaning up, disposing of remains, or destroying records. Code 0 if not described.</t>
        </is>
      </c>
      <c r="I52" s="16" t="inlineStr">
        <is>
          <t>Defendant hid, destroyed, or disposed of evidence</t>
        </is>
      </c>
    </row>
    <row r="53" ht="32" customHeight="1">
      <c r="A53" s="16" t="inlineStr">
        <is>
          <t>G1</t>
        </is>
      </c>
      <c r="B53" s="16" t="inlineStr">
        <is>
          <t>G</t>
        </is>
      </c>
      <c r="C53" s="16" t="inlineStr">
        <is>
          <t>partner</t>
        </is>
      </c>
      <c r="D53" s="16" t="inlineStr">
        <is>
          <t>Partner present</t>
        </is>
      </c>
      <c r="E53" s="16" t="n">
        <v>1</v>
      </c>
      <c r="F53" s="16" t="inlineStr">
        <is>
          <t>Is a romantic partner, spouse, or father of the pregnancy mentioned?</t>
        </is>
      </c>
      <c r="G53" s="16" t="inlineStr">
        <is>
          <t>0 = no (absent); 1 = yes (present)</t>
        </is>
      </c>
      <c r="H53" s="16" t="inlineStr">
        <is>
          <t>Code 1 for any mention of a partner in the narrative. Code 0 if no partner is mentioned.</t>
        </is>
      </c>
      <c r="I53" s="16" t="inlineStr">
        <is>
          <t>Romantic partner, spouse, or father of the pregnancy mentioned</t>
        </is>
      </c>
    </row>
    <row r="54" ht="80" customHeight="1">
      <c r="A54" s="16" t="inlineStr">
        <is>
          <t>G2</t>
        </is>
      </c>
      <c r="B54" s="16" t="inlineStr">
        <is>
          <t>G</t>
        </is>
      </c>
      <c r="C54" s="16" t="inlineStr">
        <is>
          <t>partnerrole</t>
        </is>
      </c>
      <c r="D54" s="16" t="inlineStr">
        <is>
          <t>Partner role</t>
        </is>
      </c>
      <c r="E54" s="16" t="n">
        <v>1</v>
      </c>
      <c r="F54" s="16" t="inlineStr">
        <is>
          <t>If a partner is present, what is their role?</t>
        </is>
      </c>
      <c r="G54" s="16" t="inlineStr">
        <is>
          <t>1 = supportive; 2 = neutral/uninvolved; 3 = pressuring/coercive; 4 = abusive; -88 = not mentioned</t>
        </is>
      </c>
      <c r="H54" s="16" t="inlineStr">
        <is>
          <t>Code only if `partner` = 1. Use 1 for partners who support the defendant. Use 2 for partners who are neutral or uninvolved. Use 3 for partners who pressure the defendant (e.g., insisting on abortion or insisting on carrying pregnancy). Use 4 for physical or emotional abuse. Use -88 if the partner's role is not described.</t>
        </is>
      </c>
      <c r="I54" s="16" t="inlineStr">
        <is>
          <t>Code if partner = 1</t>
        </is>
      </c>
    </row>
    <row r="55" ht="32" customHeight="1">
      <c r="A55" s="16" t="inlineStr">
        <is>
          <t>G3</t>
        </is>
      </c>
      <c r="B55" s="16" t="inlineStr">
        <is>
          <t>G</t>
        </is>
      </c>
      <c r="C55" s="16" t="inlineStr">
        <is>
          <t>hcprov</t>
        </is>
      </c>
      <c r="D55" s="16" t="inlineStr">
        <is>
          <t>Healthcare provider present</t>
        </is>
      </c>
      <c r="E55" s="16" t="n">
        <v>1</v>
      </c>
      <c r="F55" s="16" t="inlineStr">
        <is>
          <t>Is a doctor, nurse, pharmacist, or other healthcare provider mentioned?</t>
        </is>
      </c>
      <c r="G55" s="16" t="inlineStr">
        <is>
          <t>0 = no (absent); 1 = yes (present)</t>
        </is>
      </c>
      <c r="H55" s="16" t="inlineStr">
        <is>
          <t>Code 1 for any healthcare provider in the narrative. Code 0 if none is mentioned.</t>
        </is>
      </c>
      <c r="I55" s="16" t="inlineStr">
        <is>
          <t>Doctor, nurse, pharmacist, or other healthcare provider mentioned</t>
        </is>
      </c>
    </row>
    <row r="56" ht="64" customHeight="1">
      <c r="A56" s="16" t="inlineStr">
        <is>
          <t>G4</t>
        </is>
      </c>
      <c r="B56" s="16" t="inlineStr">
        <is>
          <t>G</t>
        </is>
      </c>
      <c r="C56" s="16" t="inlineStr">
        <is>
          <t>hcprovrole</t>
        </is>
      </c>
      <c r="D56" s="16" t="inlineStr">
        <is>
          <t>Healthcare provider role</t>
        </is>
      </c>
      <c r="E56" s="16" t="n">
        <v>1</v>
      </c>
      <c r="F56" s="16" t="inlineStr">
        <is>
          <t>If a healthcare provider is present, what is their role?</t>
        </is>
      </c>
      <c r="G56" s="16" t="inlineStr">
        <is>
          <t>1 = helpful/appropriate; 2 = negligent/inattentive; 3 = complicit in alleged crime; -88 = not mentioned</t>
        </is>
      </c>
      <c r="H56" s="16" t="inlineStr">
        <is>
          <t>Code only if `hcprov` = 1. Use 1 for providers who deliver appropriate care. Use 2 for providers who fail to deliver appropriate care (delays, dismissal, inadequate treatment). Use 3 for providers described as participating in or enabling the alleged crime. Use -88 if role is not described.</t>
        </is>
      </c>
      <c r="I56" s="16" t="inlineStr">
        <is>
          <t>Code if hcprov = 1</t>
        </is>
      </c>
    </row>
    <row r="57" ht="32" customHeight="1">
      <c r="A57" s="16" t="inlineStr">
        <is>
          <t>G5</t>
        </is>
      </c>
      <c r="B57" s="16" t="inlineStr">
        <is>
          <t>G</t>
        </is>
      </c>
      <c r="C57" s="16" t="inlineStr">
        <is>
          <t>family</t>
        </is>
      </c>
      <c r="D57" s="16" t="inlineStr">
        <is>
          <t>Family member present</t>
        </is>
      </c>
      <c r="E57" s="16" t="n">
        <v>1</v>
      </c>
      <c r="F57" s="16" t="inlineStr">
        <is>
          <t>Is a parent, sibling, or other family member mentioned?</t>
        </is>
      </c>
      <c r="G57" s="16" t="inlineStr">
        <is>
          <t>0 = no (absent); 1 = yes (present)</t>
        </is>
      </c>
      <c r="H57" s="16" t="inlineStr">
        <is>
          <t>Code 1 for any family member other than the partner or the defendant's own children. Code 0 if none is mentioned.</t>
        </is>
      </c>
      <c r="I57" s="16" t="inlineStr">
        <is>
          <t>Parent, sibling, or other family member mentioned</t>
        </is>
      </c>
    </row>
    <row r="58" ht="32" customHeight="1">
      <c r="A58" s="16" t="inlineStr">
        <is>
          <t>G6</t>
        </is>
      </c>
      <c r="B58" s="16" t="inlineStr">
        <is>
          <t>G</t>
        </is>
      </c>
      <c r="C58" s="16" t="inlineStr">
        <is>
          <t>friend</t>
        </is>
      </c>
      <c r="D58" s="16" t="inlineStr">
        <is>
          <t>Friend or peer present</t>
        </is>
      </c>
      <c r="E58" s="16" t="n">
        <v>1</v>
      </c>
      <c r="F58" s="16" t="inlineStr">
        <is>
          <t>Is a friend, roommate, coworker, or other peer mentioned?</t>
        </is>
      </c>
      <c r="G58" s="16" t="inlineStr">
        <is>
          <t>0 = no (absent); 1 = yes (present)</t>
        </is>
      </c>
      <c r="H58" s="16" t="inlineStr">
        <is>
          <t>Code 1 for any peer-level character in the narrative. Code 0 if no peers are mentioned.</t>
        </is>
      </c>
      <c r="I58" s="16" t="inlineStr">
        <is>
          <t>Friend, roommate, coworker, or other peer mentioned</t>
        </is>
      </c>
    </row>
    <row r="59" ht="48" customHeight="1">
      <c r="A59" s="16" t="inlineStr">
        <is>
          <t>G7</t>
        </is>
      </c>
      <c r="B59" s="16" t="inlineStr">
        <is>
          <t>G</t>
        </is>
      </c>
      <c r="C59" s="16" t="inlineStr">
        <is>
          <t>lawenf</t>
        </is>
      </c>
      <c r="D59" s="16" t="inlineStr">
        <is>
          <t>Law enforcement present</t>
        </is>
      </c>
      <c r="E59" s="16" t="n">
        <v>1</v>
      </c>
      <c r="F59" s="16" t="inlineStr">
        <is>
          <t>Is a police officer, detective, or investigator mentioned outside of the trial context?</t>
        </is>
      </c>
      <c r="G59" s="16" t="inlineStr">
        <is>
          <t>0 = no (absent); 1 = yes (present)</t>
        </is>
      </c>
      <c r="H59" s="16" t="inlineStr">
        <is>
          <t>Code 1 for law enforcement described in an investigative or arresting role. Do not code for prosecutors or bailiffs at trial (those are captured under `trial`).</t>
        </is>
      </c>
      <c r="I59" s="16" t="inlineStr">
        <is>
          <t>Police, detective, or investigator mentioned outside trial context</t>
        </is>
      </c>
    </row>
    <row r="60" ht="64" customHeight="1">
      <c r="A60" s="16" t="inlineStr">
        <is>
          <t>G8</t>
        </is>
      </c>
      <c r="B60" s="16" t="inlineStr">
        <is>
          <t>G</t>
        </is>
      </c>
      <c r="C60" s="16" t="inlineStr">
        <is>
          <t>othculp</t>
        </is>
      </c>
      <c r="D60" s="16" t="inlineStr">
        <is>
          <t>Other culpable party</t>
        </is>
      </c>
      <c r="E60" s="16" t="n">
        <v>1</v>
      </c>
      <c r="F60" s="16" t="inlineStr">
        <is>
          <t>Is any character other than the defendant described as sharing responsibility for the outcome?</t>
        </is>
      </c>
      <c r="G60" s="16" t="inlineStr">
        <is>
          <t>0 = no (absent); 1 = yes (present)</t>
        </is>
      </c>
      <c r="H60" s="16" t="inlineStr">
        <is>
          <t>Code 1 if the narrative attributes some responsibility to another character (a provider who gave bad advice, a partner who caused an assault, a family member who pressured the defendant). Code 0 if the defendant bears all described responsibility.</t>
        </is>
      </c>
      <c r="I60" s="16" t="inlineStr">
        <is>
          <t>Another character described as sharing responsibility</t>
        </is>
      </c>
    </row>
    <row r="61" ht="32" customHeight="1">
      <c r="A61" s="16" t="inlineStr">
        <is>
          <t>H1</t>
        </is>
      </c>
      <c r="B61" s="16" t="inlineStr">
        <is>
          <t>H</t>
        </is>
      </c>
      <c r="C61" s="16" t="inlineStr">
        <is>
          <t>mitfinance</t>
        </is>
      </c>
      <c r="D61" s="16" t="inlineStr">
        <is>
          <t>Financial hardship</t>
        </is>
      </c>
      <c r="E61" s="16" t="n">
        <v>1</v>
      </c>
      <c r="F61" s="16" t="inlineStr">
        <is>
          <t>Does the narrative describe financial hardship as a mitigating factor?</t>
        </is>
      </c>
      <c r="G61" s="16" t="inlineStr">
        <is>
          <t>0 = no (absent); 1 = yes (present)</t>
        </is>
      </c>
      <c r="H61" s="16" t="inlineStr">
        <is>
          <t>Code 1 for poverty, inability to afford a child, medical-cost pressure. This can overlap with `motfinancial`; code both when applicable.</t>
        </is>
      </c>
      <c r="I61" s="16" t="inlineStr">
        <is>
          <t>Mitigating: poverty, inability to afford a child, medical costs</t>
        </is>
      </c>
    </row>
    <row r="62" ht="32" customHeight="1">
      <c r="A62" s="16" t="inlineStr">
        <is>
          <t>H2</t>
        </is>
      </c>
      <c r="B62" s="16" t="inlineStr">
        <is>
          <t>H</t>
        </is>
      </c>
      <c r="C62" s="16" t="inlineStr">
        <is>
          <t>mitcoercion</t>
        </is>
      </c>
      <c r="D62" s="16" t="inlineStr">
        <is>
          <t>Coercion or pressure</t>
        </is>
      </c>
      <c r="E62" s="16" t="n">
        <v>1</v>
      </c>
      <c r="F62" s="16" t="inlineStr">
        <is>
          <t>Does the narrative describe coercion or pressure as a mitigating factor?</t>
        </is>
      </c>
      <c r="G62" s="16" t="inlineStr">
        <is>
          <t>0 = no (absent); 1 = yes (present)</t>
        </is>
      </c>
      <c r="H62" s="16" t="inlineStr">
        <is>
          <t>Code 1 if coercion is framed as reducing the defendant's culpability (e.g., she was forced, she had no real choice). This can overlap with `motcoercion`.</t>
        </is>
      </c>
      <c r="I62" s="16" t="inlineStr">
        <is>
          <t>Mitigating: pressure from partner, family, or circumstances</t>
        </is>
      </c>
    </row>
    <row r="63" ht="32" customHeight="1">
      <c r="A63" s="16" t="inlineStr">
        <is>
          <t>H3</t>
        </is>
      </c>
      <c r="B63" s="16" t="inlineStr">
        <is>
          <t>H</t>
        </is>
      </c>
      <c r="C63" s="16" t="inlineStr">
        <is>
          <t>mitfear</t>
        </is>
      </c>
      <c r="D63" s="16" t="inlineStr">
        <is>
          <t>Fear of consequences</t>
        </is>
      </c>
      <c r="E63" s="16" t="n">
        <v>1</v>
      </c>
      <c r="F63" s="16" t="inlineStr">
        <is>
          <t>Does the narrative describe fear of consequences as a mitigating factor?</t>
        </is>
      </c>
      <c r="G63" s="16" t="inlineStr">
        <is>
          <t>0 = no (absent); 1 = yes (present)</t>
        </is>
      </c>
      <c r="H63" s="16" t="inlineStr">
        <is>
          <t>Code 1 if fear of arrest, stigma, or family rejection is framed as reducing culpability. This can overlap with `motfear`.</t>
        </is>
      </c>
      <c r="I63" s="16" t="inlineStr">
        <is>
          <t>Mitigating: fear of arrest, social stigma, family rejection</t>
        </is>
      </c>
    </row>
    <row r="64" ht="32" customHeight="1">
      <c r="A64" s="16" t="inlineStr">
        <is>
          <t>H4</t>
        </is>
      </c>
      <c r="B64" s="16" t="inlineStr">
        <is>
          <t>H</t>
        </is>
      </c>
      <c r="C64" s="16" t="inlineStr">
        <is>
          <t>mitunaware</t>
        </is>
      </c>
      <c r="D64" s="16" t="inlineStr">
        <is>
          <t>Lack of knowledge</t>
        </is>
      </c>
      <c r="E64" s="16" t="n">
        <v>1</v>
      </c>
      <c r="F64" s="16" t="inlineStr">
        <is>
          <t>Does the narrative describe the defendant as unaware of the law or unaware of the pregnancy?</t>
        </is>
      </c>
      <c r="G64" s="16" t="inlineStr">
        <is>
          <t>0 = no (absent); 1 = yes (present)</t>
        </is>
      </c>
      <c r="H64" s="16" t="inlineStr">
        <is>
          <t>Code 1 if the defendant is described as not knowing the conduct was illegal, or not knowing she was pregnant. Code 0 if the defendant is aware.</t>
        </is>
      </c>
      <c r="I64" s="16" t="inlineStr">
        <is>
          <t>Mitigating: defendant unaware of the law or of the pregnancy</t>
        </is>
      </c>
    </row>
    <row r="65" ht="48" customHeight="1">
      <c r="A65" s="16" t="inlineStr">
        <is>
          <t>H5</t>
        </is>
      </c>
      <c r="B65" s="16" t="inlineStr">
        <is>
          <t>H</t>
        </is>
      </c>
      <c r="C65" s="16" t="inlineStr">
        <is>
          <t>mitmedical</t>
        </is>
      </c>
      <c r="D65" s="16" t="inlineStr">
        <is>
          <t>Medical necessity</t>
        </is>
      </c>
      <c r="E65" s="16" t="n">
        <v>1</v>
      </c>
      <c r="F65" s="16" t="inlineStr">
        <is>
          <t>Does the narrative describe the act as medically necessary or protective of the defendant's health?</t>
        </is>
      </c>
      <c r="G65" s="16" t="inlineStr">
        <is>
          <t>0 = no (absent); 1 = yes (present)</t>
        </is>
      </c>
      <c r="H65" s="16" t="inlineStr">
        <is>
          <t>Code 1 for medical necessity framing (life-threatening pregnancy, fetal anomaly, doctor-recommended termination). This can overlap with `motmedical`.</t>
        </is>
      </c>
      <c r="I65" s="16" t="inlineStr">
        <is>
          <t>Mitigating: act medically necessary or to protect defendant's health</t>
        </is>
      </c>
    </row>
    <row r="66" ht="32" customHeight="1">
      <c r="A66" s="16" t="inlineStr">
        <is>
          <t>H6</t>
        </is>
      </c>
      <c r="B66" s="16" t="inlineStr">
        <is>
          <t>H</t>
        </is>
      </c>
      <c r="C66" s="16" t="inlineStr">
        <is>
          <t>mitmh</t>
        </is>
      </c>
      <c r="D66" s="16" t="inlineStr">
        <is>
          <t>Mental health crisis</t>
        </is>
      </c>
      <c r="E66" s="16" t="n">
        <v>1</v>
      </c>
      <c r="F66" s="16" t="inlineStr">
        <is>
          <t>Does the narrative describe a mental health crisis as a mitigating factor?</t>
        </is>
      </c>
      <c r="G66" s="16" t="inlineStr">
        <is>
          <t>0 = no (absent); 1 = yes (present)</t>
        </is>
      </c>
      <c r="H66" s="16" t="inlineStr">
        <is>
          <t>Code 1 for postpartum depression, postpartum psychosis, severe depression, or other mental health crisis described as reducing culpability.</t>
        </is>
      </c>
      <c r="I66" s="16" t="inlineStr">
        <is>
          <t>Mitigating: depression, psychosis, postpartum disorder, etc.</t>
        </is>
      </c>
    </row>
    <row r="67" ht="32" customHeight="1">
      <c r="A67" s="16" t="inlineStr">
        <is>
          <t>H7</t>
        </is>
      </c>
      <c r="B67" s="16" t="inlineStr">
        <is>
          <t>H</t>
        </is>
      </c>
      <c r="C67" s="16" t="inlineStr">
        <is>
          <t>mitaccess</t>
        </is>
      </c>
      <c r="D67" s="16" t="inlineStr">
        <is>
          <t>Lack of access</t>
        </is>
      </c>
      <c r="E67" s="16" t="n">
        <v>1</v>
      </c>
      <c r="F67" s="16" t="inlineStr">
        <is>
          <t>Does the narrative describe lack of access as a mitigating factor?</t>
        </is>
      </c>
      <c r="G67" s="16" t="inlineStr">
        <is>
          <t>0 = no (absent); 1 = yes (present)</t>
        </is>
      </c>
      <c r="H67" s="16" t="inlineStr">
        <is>
          <t>Code 1 if the defendant is described as unable to access legal abortion services, healthcare, or legal counsel. Code 0 if access is not an issue.</t>
        </is>
      </c>
      <c r="I67" s="16" t="inlineStr">
        <is>
          <t>Mitigating: unable to access legal abortion, healthcare, or counsel</t>
        </is>
      </c>
    </row>
    <row r="68" ht="32" customHeight="1">
      <c r="A68" s="16" t="inlineStr">
        <is>
          <t>H8</t>
        </is>
      </c>
      <c r="B68" s="16" t="inlineStr">
        <is>
          <t>H</t>
        </is>
      </c>
      <c r="C68" s="16" t="inlineStr">
        <is>
          <t>mityouth</t>
        </is>
      </c>
      <c r="D68" s="16" t="inlineStr">
        <is>
          <t>Youth or immaturity</t>
        </is>
      </c>
      <c r="E68" s="16" t="n">
        <v>1</v>
      </c>
      <c r="F68" s="16" t="inlineStr">
        <is>
          <t>Does the narrative cite the defendant's young age or immaturity as a mitigating factor?</t>
        </is>
      </c>
      <c r="G68" s="16" t="inlineStr">
        <is>
          <t>0 = no (absent); 1 = yes (present)</t>
        </is>
      </c>
      <c r="H68" s="16" t="inlineStr">
        <is>
          <t>Code 1 if youth is explicitly described as reducing culpability (e.g., "she was only 16 and scared"). Code 0 if age is mentioned without mitigating framing.</t>
        </is>
      </c>
      <c r="I68" s="16" t="inlineStr">
        <is>
          <t>Mitigating: defendant's young age or immaturity cited</t>
        </is>
      </c>
    </row>
    <row r="69" ht="32" customHeight="1">
      <c r="A69" s="16" t="inlineStr">
        <is>
          <t>H9</t>
        </is>
      </c>
      <c r="B69" s="16" t="inlineStr">
        <is>
          <t>H</t>
        </is>
      </c>
      <c r="C69" s="16" t="inlineStr">
        <is>
          <t>mitcharac</t>
        </is>
      </c>
      <c r="D69" s="16" t="inlineStr">
        <is>
          <t>Good character evidence</t>
        </is>
      </c>
      <c r="E69" s="16" t="n">
        <v>1</v>
      </c>
      <c r="F69" s="16" t="inlineStr">
        <is>
          <t>Does the narrative describe the defendant as otherwise law-abiding, caring, or responsible?</t>
        </is>
      </c>
      <c r="G69" s="16" t="inlineStr">
        <is>
          <t>0 = no (absent); 1 = yes (present)</t>
        </is>
      </c>
      <c r="H69" s="16" t="inlineStr">
        <is>
          <t>Code 1 for good-character evidence: no prior record, devoted parent, hard worker, churchgoer. Code 0 if no character evidence is offered.</t>
        </is>
      </c>
      <c r="I69" s="16" t="inlineStr">
        <is>
          <t>Mitigating: defendant otherwise law-abiding, caring, or responsible</t>
        </is>
      </c>
    </row>
    <row r="70" ht="80" customHeight="1">
      <c r="A70" s="16" t="inlineStr">
        <is>
          <t>H10a</t>
        </is>
      </c>
      <c r="B70" s="16" t="inlineStr">
        <is>
          <t>H</t>
        </is>
      </c>
      <c r="C70" s="16" t="inlineStr">
        <is>
          <t>mitfetalvalue</t>
        </is>
      </c>
      <c r="D70" s="16" t="inlineStr">
        <is>
          <t>Subjective fetal value framing</t>
        </is>
      </c>
      <c r="E70" s="16" t="n">
        <v>1</v>
      </c>
      <c r="F70" s="16" t="inlineStr">
        <is>
          <t>Does the defendant describe the pregnancy or fetus in a personalized, attached, or grieving manner?</t>
        </is>
      </c>
      <c r="G70" s="16" t="inlineStr">
        <is>
          <t>0 = no (absent); 1 = yes (present)</t>
        </is>
      </c>
      <c r="H70" s="16" t="inlineStr">
        <is>
          <t>Code 1 if the narrative portrays the defendant as relating to the pregnancy or fetus in a personalized, attached, or grieving way, or as experiencing the pregnancy loss as a personal loss. This operationalizes Donley and Lens's [-@donley_lens22] subjective, relational fetal value framework. Code 0 if the pregnancy is described in abstract or detached terms.</t>
        </is>
      </c>
      <c r="I70" s="16" t="inlineStr">
        <is>
          <t>Mitigating: defendant describes the pregnancy or fetus in a personalized, attached, or grieving manner; or the pregnancy loss is described as a personal loss (Donley and Lens 2022)</t>
        </is>
      </c>
    </row>
    <row r="71" ht="128" customHeight="1">
      <c r="A71" s="16" t="inlineStr">
        <is>
          <t>H10b</t>
        </is>
      </c>
      <c r="B71" s="16" t="inlineStr">
        <is>
          <t>H</t>
        </is>
      </c>
      <c r="C71" s="16" t="inlineStr">
        <is>
          <t>fetalref</t>
        </is>
      </c>
      <c r="D71" s="16" t="inlineStr">
        <is>
          <t>Direct reference to baby or fetus</t>
        </is>
      </c>
      <c r="E71" s="16" t="n">
        <v>1</v>
      </c>
      <c r="F71" s="16" t="inlineStr">
        <is>
          <t>Does the narrative directly refer to the fetus or pregnancy outcome using the words "baby," "fetus," "child," "infant," or a similar term?</t>
        </is>
      </c>
      <c r="G71" s="16" t="inlineStr">
        <is>
          <t>0 = no (narrative uses only abstract or clinical terms such as "the pregnancy," "her condition," or avoids reference altogether); 1 = yes (narrative directly uses "baby," "fetus," "child," "infant," or a comparable term)</t>
        </is>
      </c>
      <c r="H71" s="16" t="inlineStr">
        <is>
          <t>Code 1 for any direct mention of "baby," "fetus," "child," "infant," "unborn," "the deceased," or similar — including possessive forms ("her baby," "the baby") and references in dialogue or attributed speech. Code 0 if the narrative refers to the pregnancy only abstractly ("the pregnancy," "her situation") or avoids the topic. Note: this captures word choice, not whether the defendant relates to the pregnancy in a personalized way (that is captured by `mitfetalvalue`, H10a). This variable is NOT included in the mitcount sum.</t>
        </is>
      </c>
      <c r="I71" s="16" t="inlineStr">
        <is>
          <t>Direct reference to the fetus or pregnancy outcome using "baby," "fetus," "child," "infant," or similar; not a mitigating factor</t>
        </is>
      </c>
    </row>
    <row r="72" ht="32" customHeight="1">
      <c r="A72" s="16" t="inlineStr">
        <is>
          <t>H10</t>
        </is>
      </c>
      <c r="B72" s="16" t="inlineStr">
        <is>
          <t>H</t>
        </is>
      </c>
      <c r="C72" s="16" t="inlineStr">
        <is>
          <t>mitcount</t>
        </is>
      </c>
      <c r="D72" s="16" t="inlineStr">
        <is>
          <t>Mitigating factor count</t>
        </is>
      </c>
      <c r="E72" s="16" t="n">
        <v>0</v>
      </c>
      <c r="F72" s="16" t="inlineStr">
        <is>
          <t>How many mitigating factors are present?</t>
        </is>
      </c>
      <c r="G72" s="16" t="inlineStr">
        <is>
          <t>Computed: integer count 0–10</t>
        </is>
      </c>
      <c r="H72" s="16" t="inlineStr">
        <is>
          <t>Sum of `mitfinance` through `mitfetalvalue`. Do not enter manually; computed in spreadsheet.</t>
        </is>
      </c>
      <c r="I72" s="16" t="inlineStr">
        <is>
          <t>Sum of mitfinance through mitfetalvalue (do not enter; computed in spreadsheet)</t>
        </is>
      </c>
    </row>
    <row r="73" ht="32" customHeight="1">
      <c r="A73" s="16" t="inlineStr">
        <is>
          <t>H11</t>
        </is>
      </c>
      <c r="B73" s="16" t="inlineStr">
        <is>
          <t>H</t>
        </is>
      </c>
      <c r="C73" s="16" t="inlineStr">
        <is>
          <t>aggconceal</t>
        </is>
      </c>
      <c r="D73" s="16" t="inlineStr">
        <is>
          <t>Concealment</t>
        </is>
      </c>
      <c r="E73" s="16" t="n">
        <v>1</v>
      </c>
      <c r="F73" s="16" t="inlineStr">
        <is>
          <t>Does the defendant actively conceal the pregnancy, the act, or the outcome?</t>
        </is>
      </c>
      <c r="G73" s="16" t="inlineStr">
        <is>
          <t>0 = no (absent); 1 = yes (present)</t>
        </is>
      </c>
      <c r="H73" s="16" t="inlineStr">
        <is>
          <t>Code 1 for active concealment framed as increasing culpability. This can overlap with `pregconceal` and `evidconceal`. Code all applicable.</t>
        </is>
      </c>
      <c r="I73" s="16" t="inlineStr">
        <is>
          <t>Aggravating: active concealment of pregnancy, act, or outcome</t>
        </is>
      </c>
    </row>
    <row r="74" ht="48" customHeight="1">
      <c r="A74" s="16" t="inlineStr">
        <is>
          <t>H12</t>
        </is>
      </c>
      <c r="B74" s="16" t="inlineStr">
        <is>
          <t>H</t>
        </is>
      </c>
      <c r="C74" s="16" t="inlineStr">
        <is>
          <t>aggrepeated</t>
        </is>
      </c>
      <c r="D74" s="16" t="inlineStr">
        <is>
          <t>Repeated conduct</t>
        </is>
      </c>
      <c r="E74" s="16" t="n">
        <v>1</v>
      </c>
      <c r="F74" s="16" t="inlineStr">
        <is>
          <t>Does the narrative describe the defendant as having done something similar before?</t>
        </is>
      </c>
      <c r="G74" s="16" t="inlineStr">
        <is>
          <t>0 = no (absent); 1 = yes (present)</t>
        </is>
      </c>
      <c r="H74" s="16" t="inlineStr">
        <is>
          <t>Code 1 for prior similar conduct (previous self-managed abortion, prior chemical-endangerment case). Code 0 if no prior similar conduct is described.</t>
        </is>
      </c>
      <c r="I74" s="16" t="inlineStr">
        <is>
          <t>Aggravating: defendant did something similar before</t>
        </is>
      </c>
    </row>
    <row r="75" ht="32" customHeight="1">
      <c r="A75" s="16" t="inlineStr">
        <is>
          <t>H13</t>
        </is>
      </c>
      <c r="B75" s="16" t="inlineStr">
        <is>
          <t>H</t>
        </is>
      </c>
      <c r="C75" s="16" t="inlineStr">
        <is>
          <t>aggdisregard</t>
        </is>
      </c>
      <c r="D75" s="16" t="inlineStr">
        <is>
          <t>Disregard for medical advice</t>
        </is>
      </c>
      <c r="E75" s="16" t="n">
        <v>1</v>
      </c>
      <c r="F75" s="16" t="inlineStr">
        <is>
          <t>Does the defendant ignore medical warnings or refuse available care?</t>
        </is>
      </c>
      <c r="G75" s="16" t="inlineStr">
        <is>
          <t>0 = no (absent); 1 = yes (present)</t>
        </is>
      </c>
      <c r="H75" s="16" t="inlineStr">
        <is>
          <t>Code 1 if the defendant is described as ignoring doctor's advice, refusing treatment, or disregarding warnings. Code 0 if not described.</t>
        </is>
      </c>
      <c r="I75" s="16" t="inlineStr">
        <is>
          <t>Aggravating: defendant ignored medical warnings or refused care</t>
        </is>
      </c>
    </row>
    <row r="76" ht="32" customHeight="1">
      <c r="A76" s="16" t="inlineStr">
        <is>
          <t>H14</t>
        </is>
      </c>
      <c r="B76" s="16" t="inlineStr">
        <is>
          <t>H</t>
        </is>
      </c>
      <c r="C76" s="16" t="inlineStr">
        <is>
          <t>aggsubst</t>
        </is>
      </c>
      <c r="D76" s="16" t="inlineStr">
        <is>
          <t>Substance involvement</t>
        </is>
      </c>
      <c r="E76" s="16" t="n">
        <v>1</v>
      </c>
      <c r="F76" s="16" t="inlineStr">
        <is>
          <t>Does alcohol or drug use contribute to the alleged crime?</t>
        </is>
      </c>
      <c r="G76" s="16" t="inlineStr">
        <is>
          <t>0 = no (absent); 1 = yes (present); -88 = not specified</t>
        </is>
      </c>
      <c r="H76" s="16" t="inlineStr">
        <is>
          <t>Code 1 if substance use is described as a cause of the outcome (e.g., drug-related stillbirth). This overlaps with `substuse`; code both when applicable.</t>
        </is>
      </c>
      <c r="I76" s="16" t="inlineStr">
        <is>
          <t>Aggravating: alcohol or drug use contributed to alleged crime</t>
        </is>
      </c>
    </row>
    <row r="77" ht="32" customHeight="1">
      <c r="A77" s="16" t="inlineStr">
        <is>
          <t>H15</t>
        </is>
      </c>
      <c r="B77" s="16" t="inlineStr">
        <is>
          <t>H</t>
        </is>
      </c>
      <c r="C77" s="16" t="inlineStr">
        <is>
          <t>agglategest</t>
        </is>
      </c>
      <c r="D77" s="16" t="inlineStr">
        <is>
          <t>Late gestational age</t>
        </is>
      </c>
      <c r="E77" s="16" t="n">
        <v>1</v>
      </c>
      <c r="F77" s="16" t="inlineStr">
        <is>
          <t>Is the pregnancy at a late gestational age (third trimester or viable)?</t>
        </is>
      </c>
      <c r="G77" s="16" t="inlineStr">
        <is>
          <t>0 = no (absent); 1 = yes (present); -88 = not specified</t>
        </is>
      </c>
      <c r="H77" s="16" t="inlineStr">
        <is>
          <t>Code 1 if the narrative describes the pregnancy as late-term or at/past viability. Code 0 for early or mid-pregnancy.</t>
        </is>
      </c>
      <c r="I77" s="16" t="inlineStr">
        <is>
          <t>Aggravating: pregnancy at third trimester or viable</t>
        </is>
      </c>
    </row>
    <row r="78" ht="32" customHeight="1">
      <c r="A78" s="16" t="inlineStr">
        <is>
          <t>H16</t>
        </is>
      </c>
      <c r="B78" s="16" t="inlineStr">
        <is>
          <t>H</t>
        </is>
      </c>
      <c r="C78" s="16" t="inlineStr">
        <is>
          <t>aggcallous</t>
        </is>
      </c>
      <c r="D78" s="16" t="inlineStr">
        <is>
          <t>Callousness or indifference</t>
        </is>
      </c>
      <c r="E78" s="16" t="n">
        <v>1</v>
      </c>
      <c r="F78" s="16" t="inlineStr">
        <is>
          <t>Is the defendant described as indifferent to the fetus or outcome?</t>
        </is>
      </c>
      <c r="G78" s="16" t="inlineStr">
        <is>
          <t>0 = no (absent); 1 = yes (present)</t>
        </is>
      </c>
      <c r="H78" s="16" t="inlineStr">
        <is>
          <t>Code 1 for descriptions of callousness, indifference, or cold affect toward the fetus or outcome. This can overlap with `motmalice`.</t>
        </is>
      </c>
      <c r="I78" s="16" t="inlineStr">
        <is>
          <t>Aggravating: defendant indifferent to fetus or outcome</t>
        </is>
      </c>
    </row>
    <row r="79" ht="32" customHeight="1">
      <c r="A79" s="16" t="inlineStr">
        <is>
          <t>H17</t>
        </is>
      </c>
      <c r="B79" s="16" t="inlineStr">
        <is>
          <t>H</t>
        </is>
      </c>
      <c r="C79" s="16" t="inlineStr">
        <is>
          <t>aggdeception</t>
        </is>
      </c>
      <c r="D79" s="16" t="inlineStr">
        <is>
          <t>Deception</t>
        </is>
      </c>
      <c r="E79" s="16" t="n">
        <v>1</v>
      </c>
      <c r="F79" s="16" t="inlineStr">
        <is>
          <t>Does the defendant lie to providers, law enforcement, or others about the pregnancy or outcome?</t>
        </is>
      </c>
      <c r="G79" s="16" t="inlineStr">
        <is>
          <t>0 = no (absent); 1 = yes (present)</t>
        </is>
      </c>
      <c r="H79" s="16" t="inlineStr">
        <is>
          <t>Code 1 for active deception (false statements to providers, lying to police, denying pregnancy to family). Code 0 if no deception is described.</t>
        </is>
      </c>
      <c r="I79" s="16" t="inlineStr">
        <is>
          <t>Aggravating: defendant lied to providers, law enforcement, or others</t>
        </is>
      </c>
    </row>
    <row r="80" ht="48" customHeight="1">
      <c r="A80" s="16" t="inlineStr">
        <is>
          <t>H18</t>
        </is>
      </c>
      <c r="B80" s="16" t="inlineStr">
        <is>
          <t>H</t>
        </is>
      </c>
      <c r="C80" s="16" t="inlineStr">
        <is>
          <t>aggendanger</t>
        </is>
      </c>
      <c r="D80" s="16" t="inlineStr">
        <is>
          <t>Endangerment of others</t>
        </is>
      </c>
      <c r="E80" s="16" t="n">
        <v>1</v>
      </c>
      <c r="F80" s="16" t="inlineStr">
        <is>
          <t>Does the narrative describe the defendant's actions as putting others (not just the fetus) at risk?</t>
        </is>
      </c>
      <c r="G80" s="16" t="inlineStr">
        <is>
          <t>0 = no (absent); 1 = yes (present)</t>
        </is>
      </c>
      <c r="H80" s="16" t="inlineStr">
        <is>
          <t>Code 1 if the defendant's actions are described as endangering other people (a driver while intoxicated, a partner, other children). Code 0 if only the fetus is described as at risk.</t>
        </is>
      </c>
      <c r="I80" s="16" t="inlineStr">
        <is>
          <t>Aggravating: actions put other people (not just fetus) at risk</t>
        </is>
      </c>
    </row>
    <row r="81" ht="32" customHeight="1">
      <c r="A81" s="16" t="inlineStr">
        <is>
          <t>H19</t>
        </is>
      </c>
      <c r="B81" s="16" t="inlineStr">
        <is>
          <t>H</t>
        </is>
      </c>
      <c r="C81" s="16" t="inlineStr">
        <is>
          <t>aggcount</t>
        </is>
      </c>
      <c r="D81" s="16" t="inlineStr">
        <is>
          <t>Aggravating factor count</t>
        </is>
      </c>
      <c r="E81" s="16" t="n">
        <v>0</v>
      </c>
      <c r="F81" s="16" t="inlineStr">
        <is>
          <t>How many aggravating factors are present?</t>
        </is>
      </c>
      <c r="G81" s="16" t="inlineStr">
        <is>
          <t>Computed: integer count 0–8</t>
        </is>
      </c>
      <c r="H81" s="16" t="inlineStr">
        <is>
          <t>Sum of `aggconceal` through `aggendanger`. Do not enter manually; computed in spreadsheet.</t>
        </is>
      </c>
      <c r="I81" s="16" t="inlineStr">
        <is>
          <t>Sum of aggconceal through aggendanger (do not enter; computed in spreadsheet)</t>
        </is>
      </c>
    </row>
    <row r="82" ht="32" customHeight="1">
      <c r="A82" s="16" t="inlineStr">
        <is>
          <t>H20</t>
        </is>
      </c>
      <c r="B82" s="16" t="inlineStr">
        <is>
          <t>H</t>
        </is>
      </c>
      <c r="C82" s="16" t="inlineStr">
        <is>
          <t>factortotal</t>
        </is>
      </c>
      <c r="D82" s="16" t="inlineStr">
        <is>
          <t>Total factor count</t>
        </is>
      </c>
      <c r="E82" s="16" t="n">
        <v>0</v>
      </c>
      <c r="F82" s="16" t="inlineStr">
        <is>
          <t>What is the total number of coded factors in the narrative?</t>
        </is>
      </c>
      <c r="G82" s="16" t="inlineStr">
        <is>
          <t>Computed: integer count 0–18</t>
        </is>
      </c>
      <c r="H82" s="16" t="inlineStr">
        <is>
          <t>Equal to `mitcount` + `aggcount`. Operationalizes narrative elaboration for RH2.1a. Do not enter manually; computed in spreadsheet.</t>
        </is>
      </c>
      <c r="I82" s="16" t="inlineStr">
        <is>
          <t>mitcount + aggcount (do not enter)</t>
        </is>
      </c>
    </row>
    <row r="83" ht="80" customHeight="1">
      <c r="A83" s="16" t="inlineStr">
        <is>
          <t>I1</t>
        </is>
      </c>
      <c r="B83" s="16" t="inlineStr">
        <is>
          <t>I</t>
        </is>
      </c>
      <c r="C83" s="16" t="inlineStr">
        <is>
          <t>evidbalance</t>
        </is>
      </c>
      <c r="D83" s="16" t="inlineStr">
        <is>
          <t>Evidence balance</t>
        </is>
      </c>
      <c r="E83" s="16" t="n">
        <v>1</v>
      </c>
      <c r="F83" s="16" t="inlineStr">
        <is>
          <t>Overall, what kind of evidence does the narrative emphasize?</t>
        </is>
      </c>
      <c r="G83" s="16" t="inlineStr">
        <is>
          <t>1 = primarily objective evidence (physical, forensic, observable acts); 2 = mixed objective and subjective; 3 = primarily subjective/motive-based (intent, mental state, character); -88 = not specified</t>
        </is>
      </c>
      <c r="H83" s="16" t="inlineStr">
        <is>
          <t>Follow Finkel and Groscup: "objective" means physical evidence, forensic results, and observable acts; "subjective" means intent, motive, mental state, and character. Code 1 if the narrative rests primarily on physical or forensic facts. Code 3 if the narrative rests primarily on mental states and motives. Code 2 for mixed.</t>
        </is>
      </c>
      <c r="I83" s="16" t="inlineStr">
        <is>
          <t>Overall narrative balance</t>
        </is>
      </c>
    </row>
    <row r="84" ht="32" customHeight="1">
      <c r="A84" s="16" t="inlineStr">
        <is>
          <t>I2</t>
        </is>
      </c>
      <c r="B84" s="16" t="inlineStr">
        <is>
          <t>I</t>
        </is>
      </c>
      <c r="C84" s="16" t="inlineStr">
        <is>
          <t>prosecarg</t>
        </is>
      </c>
      <c r="D84" s="16" t="inlineStr">
        <is>
          <t>Prosecution argument</t>
        </is>
      </c>
      <c r="E84" s="16" t="n">
        <v>1</v>
      </c>
      <c r="F84" s="16" t="inlineStr">
        <is>
          <t>Does the narrative include an explicit prosecution theory or argument?</t>
        </is>
      </c>
      <c r="G84" s="16" t="inlineStr">
        <is>
          <t>0 = no (absent); 1 = yes (present)</t>
        </is>
      </c>
      <c r="H84" s="16" t="inlineStr">
        <is>
          <t>Code 1 if the narrative articulates a prosecution case (what the state argues the defendant did). Code 0 if no prosecution theory is spelled out.</t>
        </is>
      </c>
      <c r="I84" s="16" t="inlineStr">
        <is>
          <t>Explicit prosecution theory or argument</t>
        </is>
      </c>
    </row>
    <row r="85" ht="32" customHeight="1">
      <c r="A85" s="16" t="inlineStr">
        <is>
          <t>I3</t>
        </is>
      </c>
      <c r="B85" s="16" t="inlineStr">
        <is>
          <t>I</t>
        </is>
      </c>
      <c r="C85" s="16" t="inlineStr">
        <is>
          <t>defensearg</t>
        </is>
      </c>
      <c r="D85" s="16" t="inlineStr">
        <is>
          <t>Defense argument</t>
        </is>
      </c>
      <c r="E85" s="16" t="n">
        <v>1</v>
      </c>
      <c r="F85" s="16" t="inlineStr">
        <is>
          <t>Does the narrative include an explicit defense theory or argument?</t>
        </is>
      </c>
      <c r="G85" s="16" t="inlineStr">
        <is>
          <t>0 = no (absent); 1 = yes (present); -88 = not specified</t>
        </is>
      </c>
      <c r="H85" s="16" t="inlineStr">
        <is>
          <t>Code 1 if the narrative articulates a defense case (defense theory, alternative explanation). Code 0 if no defense argument is spelled out.</t>
        </is>
      </c>
      <c r="I85" s="16" t="inlineStr">
        <is>
          <t>Explicit defense theory or argument</t>
        </is>
      </c>
    </row>
    <row r="86" ht="32" customHeight="1">
      <c r="A86" s="16" t="inlineStr">
        <is>
          <t>I4</t>
        </is>
      </c>
      <c r="B86" s="16" t="inlineStr">
        <is>
          <t>I</t>
        </is>
      </c>
      <c r="C86" s="16" t="inlineStr">
        <is>
          <t>juryreason</t>
        </is>
      </c>
      <c r="D86" s="16" t="inlineStr">
        <is>
          <t>Jury reasoning</t>
        </is>
      </c>
      <c r="E86" s="16" t="n">
        <v>1</v>
      </c>
      <c r="F86" s="16" t="inlineStr">
        <is>
          <t>Does the narrative describe the basis for the jury's verdict decision?</t>
        </is>
      </c>
      <c r="G86" s="16" t="inlineStr">
        <is>
          <t>0 = no (absent); 1 = yes (present); -88 = not specified</t>
        </is>
      </c>
      <c r="H86" s="16" t="inlineStr">
        <is>
          <t>Code 1 if the narrative gives reasons for the verdict (what persuaded the jury). Code 0 if the verdict is stated without reasoning.</t>
        </is>
      </c>
      <c r="I86" s="16" t="inlineStr">
        <is>
          <t>Basis for the jury's verdict described</t>
        </is>
      </c>
    </row>
    <row r="87" ht="48" customHeight="1">
      <c r="A87" s="16" t="inlineStr">
        <is>
          <t>I5</t>
        </is>
      </c>
      <c r="B87" s="16" t="inlineStr">
        <is>
          <t>I</t>
        </is>
      </c>
      <c r="C87" s="16" t="inlineStr">
        <is>
          <t>legalterm</t>
        </is>
      </c>
      <c r="D87" s="16" t="inlineStr">
        <is>
          <t>Legal terminology</t>
        </is>
      </c>
      <c r="E87" s="16" t="n">
        <v>1</v>
      </c>
      <c r="F87" s="16" t="inlineStr">
        <is>
          <t>Does the narrative use legal terminology?</t>
        </is>
      </c>
      <c r="G87" s="16" t="inlineStr">
        <is>
          <t>0 = no (absent); 1 = yes (present)</t>
        </is>
      </c>
      <c r="H87" s="16" t="inlineStr">
        <is>
          <t>Code 1 for any legal terms: probable cause, beyond a reasonable doubt, *mens rea*, statute, felony, misdemeanor, manslaughter, premeditation. Code 0 if the narrative uses only everyday language.</t>
        </is>
      </c>
      <c r="I87" s="16" t="inlineStr">
        <is>
          <t>Uses legal terms (probable cause, beyond a reasonable doubt, mens rea, statute, etc.)</t>
        </is>
      </c>
    </row>
    <row r="88" ht="32" customHeight="1">
      <c r="A88" s="16" t="inlineStr">
        <is>
          <t>I6</t>
        </is>
      </c>
      <c r="B88" s="16" t="inlineStr">
        <is>
          <t>I</t>
        </is>
      </c>
      <c r="C88" s="16" t="inlineStr">
        <is>
          <t>factambig</t>
        </is>
      </c>
      <c r="D88" s="16" t="inlineStr">
        <is>
          <t>Factual ambiguity</t>
        </is>
      </c>
      <c r="E88" s="16" t="n">
        <v>1</v>
      </c>
      <c r="F88" s="16" t="inlineStr">
        <is>
          <t>Does the narrative include facts that are genuinely ambiguous (could support either guilt or innocence)?</t>
        </is>
      </c>
      <c r="G88" s="16" t="inlineStr">
        <is>
          <t>0 = no (absent); 1 = yes (present)</t>
        </is>
      </c>
      <c r="H88" s="16" t="inlineStr">
        <is>
          <t>Code 1 if the narrative presents facts that could reasonably support either verdict. Code 0 if the facts clearly support one outcome.</t>
        </is>
      </c>
      <c r="I88" s="16" t="inlineStr">
        <is>
          <t>Genuinely ambiguous facts (could support guilt or innocence)</t>
        </is>
      </c>
    </row>
    <row r="89" ht="48" customHeight="1">
      <c r="A89" s="16" t="inlineStr">
        <is>
          <t>I7</t>
        </is>
      </c>
      <c r="B89" s="16" t="inlineStr">
        <is>
          <t>I</t>
        </is>
      </c>
      <c r="C89" s="16" t="inlineStr">
        <is>
          <t>legalambig</t>
        </is>
      </c>
      <c r="D89" s="16" t="inlineStr">
        <is>
          <t>Legal ambiguity</t>
        </is>
      </c>
      <c r="E89" s="16" t="n">
        <v>1</v>
      </c>
      <c r="F89" s="16" t="inlineStr">
        <is>
          <t>Does the narrative reference uncertainty about whether the conduct is actually illegal?</t>
        </is>
      </c>
      <c r="G89" s="16" t="inlineStr">
        <is>
          <t>0 = no (absent); 1 = yes (present)</t>
        </is>
      </c>
      <c r="H89" s="16" t="inlineStr">
        <is>
          <t>Code 1 if the narrative questions whether the conduct is a crime (e.g., "it wasn't clear if she broke the law"). Code 0 if the narrative treats the legal status as settled.</t>
        </is>
      </c>
      <c r="I89" s="16" t="inlineStr">
        <is>
          <t>References uncertainty about whether the conduct is illegal</t>
        </is>
      </c>
    </row>
    <row r="90" ht="48" customHeight="1">
      <c r="A90" s="16" t="inlineStr">
        <is>
          <t>I8</t>
        </is>
      </c>
      <c r="B90" s="16" t="inlineStr">
        <is>
          <t>I</t>
        </is>
      </c>
      <c r="C90" s="16" t="inlineStr">
        <is>
          <t>verdictconsist</t>
        </is>
      </c>
      <c r="D90" s="16" t="inlineStr">
        <is>
          <t>Verdict consistency</t>
        </is>
      </c>
      <c r="E90" s="16" t="n">
        <v>1</v>
      </c>
      <c r="F90" s="16" t="inlineStr">
        <is>
          <t>How well does the verdict follow from the narrative's facts?</t>
        </is>
      </c>
      <c r="G90" s="16" t="inlineStr">
        <is>
          <t>1 = verdict follows logically from facts; 2 = verdict partially consistent; 3 = verdict contradicts facts; -88 = not specified</t>
        </is>
      </c>
      <c r="H90" s="16" t="inlineStr">
        <is>
          <t>Rate the narrative as a whole. Code 1 if the verdict is the obvious outcome given the facts. Code 3 if the verdict contradicts the facts as presented. Code 2 for partial consistency.</t>
        </is>
      </c>
      <c r="I90" s="16" t="inlineStr">
        <is>
          <t>Coherence between narrative facts and verdict</t>
        </is>
      </c>
    </row>
    <row r="91" ht="96" customHeight="1">
      <c r="A91" s="16" t="inlineStr">
        <is>
          <t>J1</t>
        </is>
      </c>
      <c r="B91" s="16" t="inlineStr">
        <is>
          <t>J</t>
        </is>
      </c>
      <c r="C91" s="16" t="inlineStr">
        <is>
          <t>realcase</t>
        </is>
      </c>
      <c r="D91" s="16" t="inlineStr">
        <is>
          <t>Real case reference</t>
        </is>
      </c>
      <c r="E91" s="16" t="n">
        <v>1</v>
      </c>
      <c r="F91" s="16" t="inlineStr">
        <is>
          <t>Does the narrative appear to reference a specific real case?</t>
        </is>
      </c>
      <c r="G91" s="16" t="inlineStr">
        <is>
          <t>0 = no (absent); 1 = yes (present)</t>
        </is>
      </c>
      <c r="H91" s="16" t="inlineStr">
        <is>
          <t>Code 1 if the narrative draws on details that match a specific publicized case (Patel, Kenlissia Jones, Marshae Jones, Poolaw, Burgess, Watts, Gonzalez, Chandler-Scott, Walker, Moore, Becker, Perez, Bynum, Green, Marsh, or a similar publicized case). Match on at least two distinctive details (state, method, outcome, defendant demographic). Code 0 if no specific-case match is apparent.</t>
        </is>
      </c>
      <c r="I91" s="16" t="inlineStr">
        <is>
          <t>Narrative references a specific real case (Purvi Patel, Brittney Poolaw, Celeste Burgess, etc.)</t>
        </is>
      </c>
    </row>
    <row r="92" ht="48" customHeight="1">
      <c r="A92" s="16" t="inlineStr">
        <is>
          <t>J2</t>
        </is>
      </c>
      <c r="B92" s="16" t="inlineStr">
        <is>
          <t>J</t>
        </is>
      </c>
      <c r="C92" s="16" t="inlineStr">
        <is>
          <t>mediaframe</t>
        </is>
      </c>
      <c r="D92" s="16" t="inlineStr">
        <is>
          <t>Media framing</t>
        </is>
      </c>
      <c r="E92" s="16" t="n">
        <v>1</v>
      </c>
      <c r="F92" s="16" t="inlineStr">
        <is>
          <t>Does the narrative use language or framing suggestive of news media reporting?</t>
        </is>
      </c>
      <c r="G92" s="16" t="inlineStr">
        <is>
          <t>0 = no (absent); 1 = yes (present)</t>
        </is>
      </c>
      <c r="H92" s="16" t="inlineStr">
        <is>
          <t>Code 1 for headline-style phrasing, third-person-reporter voice, or borrowed news tropes. Code 0 if the narrative reads as a first-person or fictional-style story.</t>
        </is>
      </c>
      <c r="I92" s="16" t="inlineStr">
        <is>
          <t>Language or framing suggestive of news media reporting</t>
        </is>
      </c>
    </row>
    <row r="93" ht="48" customHeight="1">
      <c r="A93" s="16" t="inlineStr">
        <is>
          <t>J3</t>
        </is>
      </c>
      <c r="B93" s="16" t="inlineStr">
        <is>
          <t>J</t>
        </is>
      </c>
      <c r="C93" s="16" t="inlineStr">
        <is>
          <t>politicalframe</t>
        </is>
      </c>
      <c r="D93" s="16" t="inlineStr">
        <is>
          <t>Political framing</t>
        </is>
      </c>
      <c r="E93" s="16" t="n">
        <v>1</v>
      </c>
      <c r="F93" s="16" t="inlineStr">
        <is>
          <t>Does the narrative include explicit political commentary about abortion, reproductive rights, or state law?</t>
        </is>
      </c>
      <c r="G93" s="16" t="inlineStr">
        <is>
          <t>0 = no (absent); 1 = yes (present)</t>
        </is>
      </c>
      <c r="H93" s="16" t="inlineStr">
        <is>
          <t>Code 1 for explicit references to *Dobbs*, state abortion laws, reproductive rights movement, or political polarization. Code 0 if the narrative avoids political framing.</t>
        </is>
      </c>
      <c r="I93" s="16" t="inlineStr">
        <is>
          <t>Explicit political commentary about abortion, reproductive rights, or state law</t>
        </is>
      </c>
    </row>
    <row r="94" ht="32" customHeight="1">
      <c r="A94" s="16" t="inlineStr">
        <is>
          <t>M1</t>
        </is>
      </c>
      <c r="B94" s="16" t="inlineStr">
        <is>
          <t>M</t>
        </is>
      </c>
      <c r="C94" s="16" t="inlineStr">
        <is>
          <t>coderid</t>
        </is>
      </c>
      <c r="D94" s="16" t="inlineStr">
        <is>
          <t>Coder ID</t>
        </is>
      </c>
      <c r="E94" s="16" t="n">
        <v>0</v>
      </c>
      <c r="F94" s="16" t="inlineStr">
        <is>
          <t>Two-letter coder initials.</t>
        </is>
      </c>
      <c r="G94" s="16" t="inlineStr">
        <is>
          <t>Two-letter alphabetic code (e.g., EM, JD)</t>
        </is>
      </c>
      <c r="H94" s="16" t="inlineStr">
        <is>
          <t>Enter your two-letter initials in every row of the Coding sheet you complete. Use the same initials throughout the project.</t>
        </is>
      </c>
      <c r="I94" s="16" t="inlineStr">
        <is>
          <t>Identifies which RA coded the row</t>
        </is>
      </c>
    </row>
    <row r="95" ht="32" customHeight="1">
      <c r="A95" s="16" t="inlineStr">
        <is>
          <t>M2</t>
        </is>
      </c>
      <c r="B95" s="16" t="inlineStr">
        <is>
          <t>M</t>
        </is>
      </c>
      <c r="C95" s="16" t="inlineStr">
        <is>
          <t>codingdate</t>
        </is>
      </c>
      <c r="D95" s="16" t="inlineStr">
        <is>
          <t>Coding date</t>
        </is>
      </c>
      <c r="E95" s="16" t="n">
        <v>0</v>
      </c>
      <c r="F95" s="16" t="inlineStr">
        <is>
          <t>Date the row was coded.</t>
        </is>
      </c>
      <c r="G95" s="16" t="inlineStr">
        <is>
          <t>YYYY-MM-DD</t>
        </is>
      </c>
      <c r="H95" s="16" t="inlineStr">
        <is>
          <t>Enter the date you coded each row in YYYY-MM-DD format. Update if you revisit a row.</t>
        </is>
      </c>
      <c r="I95" s="16" t="inlineStr">
        <is>
          <t>Date the row was coded</t>
        </is>
      </c>
    </row>
    <row r="96" ht="64" customHeight="1">
      <c r="A96" s="16" t="inlineStr">
        <is>
          <t>M3</t>
        </is>
      </c>
      <c r="B96" s="16" t="inlineStr">
        <is>
          <t>M</t>
        </is>
      </c>
      <c r="C96" s="16" t="inlineStr">
        <is>
          <t>notes</t>
        </is>
      </c>
      <c r="D96" s="16" t="inlineStr">
        <is>
          <t>Coder notes</t>
        </is>
      </c>
      <c r="E96" s="16" t="n">
        <v>0</v>
      </c>
      <c r="F96" s="16" t="inlineStr">
        <is>
          <t>Free-text notes for this row.</t>
        </is>
      </c>
      <c r="G96" s="16" t="inlineStr">
        <is>
          <t>Free text</t>
        </is>
      </c>
      <c r="H96" s="16" t="inlineStr">
        <is>
          <t>Use this column to flag uncertainties for reconciliation, note variables you skipped (-77), record decisions on borderline cases, or record any observation about the narrative that the structured codes don't capture. Email the PI for any -77 entries at the end of the session.</t>
        </is>
      </c>
      <c r="I96" s="16" t="inlineStr">
        <is>
          <t>Free-text notes for the row, including uncertainty flags and skipped-variable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2026-04-15T06:06:44Z</dcterms:created>
  <dcterms:modified xmlns:dcterms="http://purl.org/dc/terms/" xmlns:xsi="http://www.w3.org/2001/XMLSchema-instance" xsi:type="dcterms:W3CDTF">2026-06-21T23:46:04Z</dcterms:modified>
  <cp:lastModifiedBy>Emma Marshall</cp:lastModifiedBy>
  <cp:revision>0</cp:revision>
</cp:coreProperties>
</file>